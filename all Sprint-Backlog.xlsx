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14FA179E6E561CC/سطح المكتب/Hospital_Mangement_SW332/"/>
    </mc:Choice>
  </mc:AlternateContent>
  <xr:revisionPtr revIDLastSave="0" documentId="8_{727E815F-8B12-4778-BC8C-983CA9DA3D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 Sprint Backlog2" sheetId="5" r:id="rId1"/>
    <sheet name=" Sprint Backlog1" sheetId="8" r:id="rId2"/>
  </sheets>
  <definedNames>
    <definedName name="_xlnm.Print_Area" localSheetId="0">' Sprint Backlog2'!$B$7:$AA$41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D24" i="8"/>
  <c r="E21" i="8"/>
  <c r="E20" i="8"/>
  <c r="F20" i="8"/>
  <c r="F19" i="8"/>
  <c r="E18" i="8"/>
  <c r="F18" i="8"/>
  <c r="E17" i="8"/>
  <c r="F17" i="8"/>
  <c r="E16" i="8"/>
  <c r="F16" i="8"/>
  <c r="E15" i="8"/>
  <c r="F15" i="8"/>
  <c r="F14" i="8"/>
  <c r="E14" i="8"/>
  <c r="F12" i="8"/>
  <c r="E12" i="8"/>
  <c r="E11" i="8"/>
  <c r="F11" i="8"/>
  <c r="E10" i="8"/>
  <c r="F10" i="8"/>
  <c r="F9" i="8"/>
  <c r="F24" i="8"/>
  <c r="H4" i="8"/>
  <c r="E9" i="8"/>
  <c r="E24" i="8"/>
  <c r="F4" i="8"/>
  <c r="D4" i="8"/>
  <c r="E8" i="5"/>
  <c r="E11" i="5"/>
  <c r="E14" i="5"/>
  <c r="E17" i="5"/>
  <c r="E20" i="5"/>
  <c r="E23" i="5"/>
  <c r="E26" i="5"/>
  <c r="E29" i="5"/>
  <c r="E32" i="5"/>
  <c r="E35" i="5"/>
  <c r="E38" i="5"/>
  <c r="E12" i="5"/>
  <c r="F12" i="5"/>
  <c r="F39" i="5"/>
  <c r="F38" i="5"/>
  <c r="F37" i="5"/>
  <c r="E36" i="5"/>
  <c r="F36" i="5"/>
  <c r="F34" i="5"/>
  <c r="E33" i="5"/>
  <c r="F33" i="5"/>
  <c r="E31" i="5"/>
  <c r="F31" i="5"/>
  <c r="F35" i="5"/>
  <c r="F32" i="5"/>
  <c r="F29" i="5"/>
  <c r="F26" i="5"/>
  <c r="F23" i="5"/>
  <c r="F20" i="5"/>
  <c r="E30" i="5"/>
  <c r="F30" i="5"/>
  <c r="E28" i="5"/>
  <c r="F28" i="5"/>
  <c r="E27" i="5"/>
  <c r="F27" i="5"/>
  <c r="E25" i="5"/>
  <c r="F25" i="5"/>
  <c r="E24" i="5"/>
  <c r="F24" i="5"/>
  <c r="E22" i="5"/>
  <c r="F22" i="5"/>
  <c r="E21" i="5"/>
  <c r="F21" i="5"/>
  <c r="E19" i="5"/>
  <c r="F19" i="5"/>
  <c r="E18" i="5"/>
  <c r="F18" i="5"/>
  <c r="F17" i="5"/>
  <c r="E16" i="5"/>
  <c r="F16" i="5"/>
  <c r="E15" i="5"/>
  <c r="F15" i="5"/>
  <c r="E13" i="5"/>
  <c r="F13" i="5"/>
  <c r="F14" i="5"/>
  <c r="D41" i="5"/>
  <c r="E40" i="5"/>
  <c r="E41" i="5"/>
  <c r="F8" i="5"/>
  <c r="F11" i="5"/>
  <c r="F40" i="5"/>
  <c r="F41" i="5"/>
  <c r="D3" i="5"/>
  <c r="H3" i="5"/>
</calcChain>
</file>

<file path=xl/sharedStrings.xml><?xml version="1.0" encoding="utf-8"?>
<sst xmlns="http://schemas.openxmlformats.org/spreadsheetml/2006/main" count="150" uniqueCount="100">
  <si>
    <t>ASSIGNED TO</t>
  </si>
  <si>
    <t>DAY 1</t>
  </si>
  <si>
    <t>DAY 2</t>
  </si>
  <si>
    <t>DAY 3</t>
  </si>
  <si>
    <t>DAY 4</t>
  </si>
  <si>
    <t>DAY 5</t>
  </si>
  <si>
    <t>TOTAL</t>
  </si>
  <si>
    <t>CURRENT DATE</t>
  </si>
  <si>
    <t>SPRINT START DATE</t>
  </si>
  <si>
    <t>SPRINT TRACKING</t>
  </si>
  <si>
    <t>ASSIGNED HOURS</t>
  </si>
  <si>
    <t>AVAILABLE HOURS REMAINING</t>
  </si>
  <si>
    <t>HOURS USED</t>
  </si>
  <si>
    <t>TOTAL ASSIGNED HOURS</t>
  </si>
  <si>
    <t>HOURS REMAINING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</si>
  <si>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</si>
  <si>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</si>
  <si>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</si>
  <si>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</si>
  <si>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</si>
  <si>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</si>
  <si>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</si>
  <si>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</si>
  <si>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</si>
  <si>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User Stories and Tasks</t>
  </si>
  <si>
    <t>Add More Tasks and User Stories if You Need to</t>
  </si>
  <si>
    <t>SPRINT GOAL</t>
  </si>
  <si>
    <t xml:space="preserve">Write A short statement of what the team aims to achieve during the sprint.  </t>
  </si>
  <si>
    <t>Start of the Sprint Date</t>
  </si>
  <si>
    <t>SPRINT BACKLOG</t>
  </si>
  <si>
    <t>Member's Name: Roaa</t>
  </si>
  <si>
    <t>Member's Name: Sumaiya</t>
  </si>
  <si>
    <t>Member's Name:Joud</t>
  </si>
  <si>
    <t>Member's Name: Bushra</t>
  </si>
  <si>
    <t>Member's Name: Joud</t>
  </si>
  <si>
    <t>11/22/25</t>
  </si>
  <si>
    <t>User Story 1 Name:As a patient i want to enter my ID number in insurance company name on the hospital’s website, so that i can check if my insurance is valid  to me or not.</t>
  </si>
  <si>
    <t xml:space="preserve">Task 1.1 ID and Insurance provider input screen </t>
  </si>
  <si>
    <t xml:space="preserve">Task 1.2 Insurance validation API integration </t>
  </si>
  <si>
    <t>User Story 2 Name: As a patient I want receive a response from the insurance company through an interface that tells me whether my request is accepted or rejected so that i can know if the insurance will cover my medical expenses</t>
  </si>
  <si>
    <t xml:space="preserve">Task 2.1 Build response interface ( accepted/rejected) </t>
  </si>
  <si>
    <t>Task 2.2 Connect UIwith insurance response API</t>
  </si>
  <si>
    <t xml:space="preserve">User Story 3 Name: As a patient ( note* if the insurance valid ) I want to the discount to be applied to the total amount sue when paying the bill so that i can benefit from the insurance coverage </t>
  </si>
  <si>
    <t>Task 3.1  Discount calculation logic</t>
  </si>
  <si>
    <t>Task 3.2 Apply discount in payment screen</t>
  </si>
  <si>
    <t xml:space="preserve">User Story 4 Name: As a lab technician I want to upload test result to the system so that doctor can access lab data without delay. </t>
  </si>
  <si>
    <t>Task 4.1 Uplod module (UI+file validation)</t>
  </si>
  <si>
    <t xml:space="preserve">Task 4.2 Backebd integration to store lab results </t>
  </si>
  <si>
    <t xml:space="preserve">User Story 5 Name:As a hospital manager i want to be able to service and view all employee details and supported insurance companies in the hospital system so that i can ensure smooth operations </t>
  </si>
  <si>
    <t>Task 5.1 Employee management screen</t>
  </si>
  <si>
    <t>Task 5.2 Insurance company management module</t>
  </si>
  <si>
    <t xml:space="preserve">User Story 6 Name: As a Accountant administrator i want to generate billing and payment reports so that i cant track hospital revenue and patient payments </t>
  </si>
  <si>
    <t>Task 6.1 Billing report generator</t>
  </si>
  <si>
    <t xml:space="preserve">Task 6.2 Payment report and export options </t>
  </si>
  <si>
    <t xml:space="preserve">User Story 7 Name:As a doctor i want to request lab test and view result digitally so that is can make faster medical decision </t>
  </si>
  <si>
    <t>Task 7.1 Lab test request form</t>
  </si>
  <si>
    <t>Task 7.2 Link test results to patient record</t>
  </si>
  <si>
    <t xml:space="preserve">User Story 8 Name:As a patient i want to pay medical bills online securely (visa, mada, apple pay), so that is can complete my payments easily from home. </t>
  </si>
  <si>
    <t xml:space="preserve">Task 8.1 Payment gateway integration </t>
  </si>
  <si>
    <t xml:space="preserve">Task 8.2 Payment recepitand confirmation </t>
  </si>
  <si>
    <t xml:space="preserve">User Story 9 Name:As a patient i want to view prescription and lab results online so that i can stay informed about my health status  </t>
  </si>
  <si>
    <t>Task 9.1 Proscription biewing page</t>
  </si>
  <si>
    <t xml:space="preserve">Task 9.2 Link lab results to patient portal </t>
  </si>
  <si>
    <t xml:space="preserve">User Story 10 Name:As a patient i want to contact customer service via chat so that i can get assistance with my medical queries or issues. </t>
  </si>
  <si>
    <t xml:space="preserve">Task 10.1 chat UI </t>
  </si>
  <si>
    <t xml:space="preserve">Task 10.2  Backend chat service connection </t>
  </si>
  <si>
    <t xml:space="preserve">User Story 11 Name :As a marketing administrator i want to send promotional offers to patients via email so that i can attract more customers </t>
  </si>
  <si>
    <t>Task 11.1 Email tamplate and UI</t>
  </si>
  <si>
    <t xml:space="preserve">Task 11.2 Email sending service integration </t>
  </si>
  <si>
    <t>DAY 15</t>
  </si>
  <si>
    <t>DAY 16</t>
  </si>
  <si>
    <t>DAY 17</t>
  </si>
  <si>
    <t>DAY 18</t>
  </si>
  <si>
    <t>DAY 19</t>
  </si>
  <si>
    <t>DAY 21</t>
  </si>
  <si>
    <t>P</t>
  </si>
  <si>
    <t>Day;20</t>
  </si>
  <si>
    <t>the team aims to build the core functionalities of the system to ensure smooth workflow</t>
  </si>
  <si>
    <t xml:space="preserve">User Story 1 Name: as an Administrator I want to register hospital staff  so that I can manage user access and system roles </t>
  </si>
  <si>
    <t>Task 1.1 Build interface for registering hospitoal staff</t>
  </si>
  <si>
    <t>Task 1.2 integrate the system with database</t>
  </si>
  <si>
    <t>Member's Name: bushra</t>
  </si>
  <si>
    <t>User Story 2 Name:as a doctor I want to view full medical records of patients befor treatment so that I can make accurate diagnoses and decisions</t>
  </si>
  <si>
    <t>Task 2.1 design interface for display patients medical records</t>
  </si>
  <si>
    <t xml:space="preserve">Member's Name: joud </t>
  </si>
  <si>
    <t>User Story 3 Name: as a patient I want to register and create an account so that I can book appointments and access my medical records</t>
  </si>
  <si>
    <t xml:space="preserve">Task 3.1 devolope the functionalitiy of appointment booking </t>
  </si>
  <si>
    <t>Member's Name :joud</t>
  </si>
  <si>
    <t>Task 3.2 build interface for patients regstration  and integrate it withn database</t>
  </si>
  <si>
    <t xml:space="preserve">Task 3.3 design interface to display patients medical record </t>
  </si>
  <si>
    <t>Member's Name: sumaiya</t>
  </si>
  <si>
    <t>User Story 4 Name: as a doctor I want to view my patient list and  appoinments so that I mange my daily schudels efficiently</t>
  </si>
  <si>
    <t>Task 4.1 Develop the functionality to retrieve and display patient list</t>
  </si>
  <si>
    <t>Member's Name :Sumayia</t>
  </si>
  <si>
    <t xml:space="preserve">Task 4.2 implement a search /filter for appointment based on date or patient </t>
  </si>
  <si>
    <t>Member's Name :bushra</t>
  </si>
  <si>
    <t xml:space="preserve">User Story 5 Name: as a patient  I want to book appointments online so that I can choose  a convenient time with my preferred doctor </t>
  </si>
  <si>
    <t>Task 5.1 Design UI for selecting doctor and viewing available slots</t>
  </si>
  <si>
    <t>Member's Name :Roaa</t>
  </si>
  <si>
    <t>Task 5.2 Develop backend API to fetch doctors'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</si>
</sst>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2" x14ac:knownFonts="1"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b/>
      <sz val="22"/>
      <color theme="0" tint="-0.499984740745262"/>
      <name val="Century Gothic"/>
      <family val="1"/>
    </font>
    <font>
      <sz val="22"/>
      <color theme="1"/>
      <name val="Calibri"/>
      <family val="2"/>
      <scheme val="minor"/>
    </font>
    <font>
      <sz val="14"/>
      <color theme="1" tint="0.34998626667073579"/>
      <name val="Century Gothic"/>
      <family val="2"/>
    </font>
    <font>
      <sz val="22"/>
      <color theme="1"/>
      <name val="Century Gothic"/>
      <family val="1"/>
    </font>
    <font>
      <sz val="9"/>
      <color theme="1"/>
      <name val="Century Gothic"/>
      <family val="2"/>
    </font>
    <font>
      <i/>
      <sz val="9"/>
      <color theme="1"/>
      <name val="Century Gothic"/>
      <family val="2"/>
    </font>
    <font>
      <b/>
      <sz val="12"/>
      <color theme="0"/>
      <name val="Century Gothic"/>
      <family val="1"/>
    </font>
    <font>
      <sz val="14"/>
      <color theme="0"/>
      <name val="Century Gothic"/>
      <family val="2"/>
    </font>
    <font>
      <b/>
      <sz val="18"/>
      <color theme="9" tint="-0.249977111117893"/>
      <name val="Century Gothic"/>
      <family val="2"/>
    </font>
    <font>
      <b/>
      <sz val="22"/>
      <color theme="1" tint="0.34998626667073579"/>
      <name val="Century Gothic"/>
      <family val="1"/>
    </font>
    <font>
      <sz val="22"/>
      <color theme="1" tint="0.34998626667073579"/>
      <name val="Calibri"/>
      <family val="2"/>
      <scheme val="minor"/>
    </font>
    <font>
      <sz val="12"/>
      <color theme="0" tint="-0.499984740745262"/>
      <name val="Century Gothic"/>
      <family val="2"/>
    </font>
    <font>
      <b/>
      <sz val="10"/>
      <color theme="1"/>
      <name val="Century Gothic"/>
      <family val="2"/>
    </font>
    <font>
      <b/>
      <sz val="14"/>
      <color theme="1" tint="0.34998626667073579"/>
      <name val="Century Gothic"/>
      <family val="2"/>
    </font>
    <font>
      <b/>
      <sz val="14"/>
      <color theme="9" tint="-0.249977111117893"/>
      <name val="Century Gothic"/>
      <family val="2"/>
    </font>
    <font>
      <sz val="10"/>
      <color theme="1" tint="0.34998626667073579"/>
      <name val="Century Gothic"/>
      <family val="2"/>
    </font>
    <font>
      <sz val="10"/>
      <color theme="1"/>
      <name val="Calibri"/>
      <family val="2"/>
      <scheme val="minor"/>
    </font>
    <font>
      <sz val="10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 wrapText="1"/>
    </xf>
    <xf numFmtId="0" fontId="16" fillId="10" borderId="0" xfId="0" applyFont="1" applyFill="1"/>
    <xf numFmtId="164" fontId="15" fillId="4" borderId="2" xfId="0" applyNumberFormat="1" applyFont="1" applyFill="1" applyBorder="1" applyAlignment="1">
      <alignment horizontal="center" vertical="center"/>
    </xf>
    <xf numFmtId="164" fontId="15" fillId="4" borderId="0" xfId="0" applyNumberFormat="1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wrapText="1" indent="1"/>
    </xf>
    <xf numFmtId="0" fontId="19" fillId="2" borderId="0" xfId="0" applyFont="1" applyFill="1"/>
    <xf numFmtId="0" fontId="20" fillId="0" borderId="0" xfId="0" applyFont="1"/>
    <xf numFmtId="0" fontId="21" fillId="0" borderId="1" xfId="0" applyFont="1" applyBorder="1" applyAlignment="1">
      <alignment horizontal="left" vertical="center" wrapText="1" inden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4" fillId="0" borderId="0" xfId="0" applyFont="1"/>
    <xf numFmtId="0" fontId="9" fillId="0" borderId="3" xfId="0" applyFont="1" applyBorder="1" applyAlignment="1">
      <alignment horizontal="right" vertical="center" indent="1"/>
    </xf>
    <xf numFmtId="0" fontId="18" fillId="0" borderId="0" xfId="0" applyFont="1" applyAlignment="1">
      <alignment horizontal="center"/>
    </xf>
    <xf numFmtId="1" fontId="12" fillId="6" borderId="2" xfId="0" applyNumberFormat="1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right" vertical="center" wrapText="1" indent="1"/>
    </xf>
    <xf numFmtId="0" fontId="11" fillId="8" borderId="5" xfId="0" applyFont="1" applyFill="1" applyBorder="1" applyAlignment="1">
      <alignment horizontal="right" vertical="center" wrapText="1" indent="1"/>
    </xf>
  </cellXfs>
  <cellStyles count="2">
    <cellStyle name="Normal" xfId="0" builtinId="0"/>
    <cellStyle name="Normal 2" xfId="1" xr:uid="{924B28E4-7E22-A240-8564-A59A9A5220BC}"/>
  </cellStyles>
  <dxfs count="0"/>
  <tableStyles count="0" defaultTableStyle="TableStyleMedium9" defaultPivotStyle="PivotStyleMedium4"/>
  <colors>
    <mruColors>
      <color rgb="FF00BD32"/>
      <color rgb="FFE5E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10D4-F843-244C-9474-0C5D6C1C05CB}">
  <sheetPr>
    <tabColor theme="9" tint="0.59999389629810485"/>
    <pageSetUpPr fitToPage="1"/>
  </sheetPr>
  <dimension ref="B1:AA136"/>
  <sheetViews>
    <sheetView showGridLines="0" tabSelected="1" topLeftCell="A22" zoomScale="64" workbookViewId="0">
      <selection activeCell="E48" sqref="E48"/>
    </sheetView>
  </sheetViews>
  <sheetFormatPr defaultColWidth="10.69921875" defaultRowHeight="13.2" x14ac:dyDescent="0.25"/>
  <cols>
    <col min="1" max="1" width="3.09765625" style="1" customWidth="1"/>
    <col min="2" max="2" width="34.59765625" style="1" customWidth="1"/>
    <col min="3" max="3" width="35.59765625" style="1" customWidth="1"/>
    <col min="4" max="6" width="18.59765625" style="1" customWidth="1"/>
    <col min="7" max="27" width="10.69921875" style="1" customWidth="1"/>
    <col min="28" max="28" width="3.09765625" style="1" customWidth="1"/>
    <col min="29" max="16384" width="10.69921875" style="1"/>
  </cols>
  <sheetData>
    <row r="1" spans="2:27" s="6" customFormat="1" ht="45" customHeight="1" x14ac:dyDescent="0.55000000000000004">
      <c r="B1" s="31" t="s">
        <v>29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2:27" ht="26.25" customHeight="1" x14ac:dyDescent="0.55000000000000004">
      <c r="B2" s="20" t="s">
        <v>7</v>
      </c>
      <c r="C2" s="21" t="s">
        <v>8</v>
      </c>
      <c r="D2" s="34" t="s">
        <v>13</v>
      </c>
      <c r="E2" s="34"/>
      <c r="F2" s="34" t="s">
        <v>12</v>
      </c>
      <c r="G2" s="34"/>
      <c r="H2" s="34" t="s">
        <v>14</v>
      </c>
      <c r="I2" s="34"/>
      <c r="J2" s="3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2:27" ht="49.95" customHeight="1" x14ac:dyDescent="0.55000000000000004">
      <c r="B3" s="18" t="s">
        <v>35</v>
      </c>
      <c r="C3" s="18">
        <v>46002</v>
      </c>
      <c r="D3" s="35">
        <f>D41</f>
        <v>264</v>
      </c>
      <c r="E3" s="35"/>
      <c r="F3" s="35">
        <f>E41</f>
        <v>150</v>
      </c>
      <c r="G3" s="35"/>
      <c r="H3" s="35">
        <f>F41</f>
        <v>114</v>
      </c>
      <c r="I3" s="35"/>
      <c r="J3" s="3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2:27" ht="49.95" customHeight="1" x14ac:dyDescent="0.55000000000000004">
      <c r="B4" s="22" t="s">
        <v>26</v>
      </c>
      <c r="C4" s="19" t="s">
        <v>27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2:27" ht="12" customHeight="1" x14ac:dyDescent="0.55000000000000004">
      <c r="B5" s="7"/>
      <c r="C5" s="4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ht="45" customHeight="1" x14ac:dyDescent="0.55000000000000004">
      <c r="B6" s="5" t="s">
        <v>9</v>
      </c>
      <c r="C6" s="4"/>
      <c r="D6" s="33"/>
      <c r="E6" s="33"/>
      <c r="F6" s="33"/>
      <c r="G6" s="16" t="s">
        <v>28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2:27" ht="34.950000000000003" customHeight="1" x14ac:dyDescent="0.25">
      <c r="B7" s="8" t="s">
        <v>24</v>
      </c>
      <c r="C7" s="8" t="s">
        <v>0</v>
      </c>
      <c r="D7" s="14" t="s">
        <v>10</v>
      </c>
      <c r="E7" s="14" t="s">
        <v>12</v>
      </c>
      <c r="F7" s="14" t="s">
        <v>11</v>
      </c>
      <c r="G7" s="12" t="s">
        <v>1</v>
      </c>
      <c r="H7" s="12" t="s">
        <v>2</v>
      </c>
      <c r="I7" s="12" t="s">
        <v>3</v>
      </c>
      <c r="J7" s="12" t="s">
        <v>4</v>
      </c>
      <c r="K7" s="12" t="s">
        <v>5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2" t="s">
        <v>20</v>
      </c>
      <c r="R7" s="12" t="s">
        <v>21</v>
      </c>
      <c r="S7" s="12" t="s">
        <v>22</v>
      </c>
      <c r="T7" s="12" t="s">
        <v>23</v>
      </c>
      <c r="U7" s="12" t="s">
        <v>69</v>
      </c>
      <c r="V7" s="12" t="s">
        <v>70</v>
      </c>
      <c r="W7" s="12" t="s">
        <v>71</v>
      </c>
      <c r="X7" s="12" t="s">
        <v>72</v>
      </c>
      <c r="Y7" s="12" t="s">
        <v>73</v>
      </c>
      <c r="Z7" s="12" t="s">
        <v>76</v>
      </c>
      <c r="AA7" s="12" t="s">
        <v>74</v>
      </c>
    </row>
    <row r="8" spans="2:27" ht="36.75" customHeight="1" x14ac:dyDescent="0.25">
      <c r="B8" s="29" t="s">
        <v>36</v>
      </c>
      <c r="C8" s="30"/>
      <c r="D8" s="9">
        <v>0</v>
      </c>
      <c r="E8" s="9">
        <f>SUM(G8:AA8)</f>
        <v>0</v>
      </c>
      <c r="F8" s="9">
        <f t="shared" ref="F8" si="0">D8-E8</f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</row>
    <row r="9" spans="2:27" ht="25.2" customHeight="1" x14ac:dyDescent="0.25">
      <c r="B9" s="3" t="s">
        <v>37</v>
      </c>
      <c r="C9" s="3" t="s">
        <v>32</v>
      </c>
      <c r="D9" s="9">
        <v>10</v>
      </c>
      <c r="E9" s="9">
        <v>5</v>
      </c>
      <c r="F9" s="9">
        <v>5</v>
      </c>
      <c r="G9" s="23">
        <v>1</v>
      </c>
      <c r="H9" s="23">
        <v>1</v>
      </c>
      <c r="I9" s="23">
        <v>1</v>
      </c>
      <c r="J9" s="23">
        <v>1</v>
      </c>
      <c r="K9" s="23">
        <v>2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</row>
    <row r="10" spans="2:27" ht="25.2" customHeight="1" x14ac:dyDescent="0.25">
      <c r="B10" s="3" t="s">
        <v>38</v>
      </c>
      <c r="C10" s="3" t="s">
        <v>31</v>
      </c>
      <c r="D10" s="9">
        <v>12</v>
      </c>
      <c r="E10" s="9">
        <v>6</v>
      </c>
      <c r="F10" s="9">
        <v>6</v>
      </c>
      <c r="G10" s="23">
        <v>2</v>
      </c>
      <c r="H10" s="23">
        <v>1</v>
      </c>
      <c r="I10" s="23">
        <v>1</v>
      </c>
      <c r="J10" s="23">
        <v>1</v>
      </c>
      <c r="K10" s="23">
        <v>1</v>
      </c>
      <c r="L10" s="23">
        <v>0</v>
      </c>
      <c r="M10" s="23">
        <v>1</v>
      </c>
      <c r="N10" s="23">
        <v>0</v>
      </c>
      <c r="O10" s="23">
        <v>0</v>
      </c>
      <c r="P10" s="23">
        <v>0</v>
      </c>
      <c r="Q10" s="23">
        <v>0</v>
      </c>
      <c r="R10" s="23"/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</row>
    <row r="11" spans="2:27" ht="42.75" customHeight="1" x14ac:dyDescent="0.25">
      <c r="B11" s="29" t="s">
        <v>39</v>
      </c>
      <c r="C11" s="30"/>
      <c r="D11" s="9">
        <v>0</v>
      </c>
      <c r="E11" s="9">
        <f t="shared" ref="E11:E33" si="1">SUM(G11:AA11)</f>
        <v>0</v>
      </c>
      <c r="F11" s="9">
        <f t="shared" ref="F11:F13" si="2">D11-E11</f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/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</row>
    <row r="12" spans="2:27" ht="25.2" customHeight="1" x14ac:dyDescent="0.25">
      <c r="B12" s="3" t="s">
        <v>40</v>
      </c>
      <c r="C12" s="3" t="s">
        <v>30</v>
      </c>
      <c r="D12" s="9">
        <v>14</v>
      </c>
      <c r="E12" s="9">
        <f t="shared" si="1"/>
        <v>6</v>
      </c>
      <c r="F12" s="9">
        <f t="shared" si="2"/>
        <v>8</v>
      </c>
      <c r="G12" s="23">
        <v>0</v>
      </c>
      <c r="H12" s="23">
        <v>0</v>
      </c>
      <c r="I12" s="23">
        <v>2</v>
      </c>
      <c r="J12" s="23">
        <v>2</v>
      </c>
      <c r="K12" s="23">
        <v>1</v>
      </c>
      <c r="L12" s="23">
        <v>1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/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</row>
    <row r="13" spans="2:27" ht="25.2" customHeight="1" x14ac:dyDescent="0.25">
      <c r="B13" s="3" t="s">
        <v>41</v>
      </c>
      <c r="C13" s="3" t="s">
        <v>33</v>
      </c>
      <c r="D13" s="9">
        <v>16</v>
      </c>
      <c r="E13" s="9">
        <f t="shared" si="1"/>
        <v>9</v>
      </c>
      <c r="F13" s="9">
        <f t="shared" si="2"/>
        <v>7</v>
      </c>
      <c r="G13" s="23">
        <v>1</v>
      </c>
      <c r="H13" s="23">
        <v>0</v>
      </c>
      <c r="I13" s="23">
        <v>1</v>
      </c>
      <c r="J13" s="23">
        <v>1</v>
      </c>
      <c r="K13" s="23">
        <v>1</v>
      </c>
      <c r="L13" s="23">
        <v>1</v>
      </c>
      <c r="M13" s="23">
        <v>2</v>
      </c>
      <c r="N13" s="23">
        <v>1</v>
      </c>
      <c r="O13" s="23">
        <v>1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</row>
    <row r="14" spans="2:27" ht="49.5" customHeight="1" x14ac:dyDescent="0.25">
      <c r="B14" s="29" t="s">
        <v>42</v>
      </c>
      <c r="C14" s="30"/>
      <c r="D14" s="9">
        <v>0</v>
      </c>
      <c r="E14" s="9">
        <f t="shared" si="1"/>
        <v>0</v>
      </c>
      <c r="F14" s="9">
        <f t="shared" ref="F14:F16" si="3">D14-E14</f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/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</row>
    <row r="15" spans="2:27" ht="25.2" customHeight="1" x14ac:dyDescent="0.25">
      <c r="B15" s="3" t="s">
        <v>43</v>
      </c>
      <c r="C15" s="3" t="s">
        <v>31</v>
      </c>
      <c r="D15" s="9">
        <v>12</v>
      </c>
      <c r="E15" s="9">
        <f t="shared" si="1"/>
        <v>8</v>
      </c>
      <c r="F15" s="9">
        <f t="shared" si="3"/>
        <v>4</v>
      </c>
      <c r="G15" s="23">
        <v>2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1</v>
      </c>
      <c r="N15" s="23">
        <v>2</v>
      </c>
      <c r="O15" s="23">
        <v>1</v>
      </c>
      <c r="P15" s="23">
        <v>1</v>
      </c>
      <c r="Q15" s="23">
        <v>1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</row>
    <row r="16" spans="2:27" ht="25.2" customHeight="1" x14ac:dyDescent="0.25">
      <c r="B16" s="3" t="s">
        <v>44</v>
      </c>
      <c r="C16" s="3" t="s">
        <v>34</v>
      </c>
      <c r="D16" s="9">
        <v>10</v>
      </c>
      <c r="E16" s="9">
        <f t="shared" si="1"/>
        <v>6</v>
      </c>
      <c r="F16" s="9">
        <f t="shared" si="3"/>
        <v>4</v>
      </c>
      <c r="G16" s="23">
        <v>1</v>
      </c>
      <c r="H16" s="23">
        <v>2</v>
      </c>
      <c r="I16" s="23">
        <v>1</v>
      </c>
      <c r="J16" s="23">
        <v>1</v>
      </c>
      <c r="K16" s="23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/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</row>
    <row r="17" spans="2:27" ht="25.2" customHeight="1" x14ac:dyDescent="0.25">
      <c r="B17" s="29" t="s">
        <v>45</v>
      </c>
      <c r="C17" s="30"/>
      <c r="D17" s="9">
        <v>0</v>
      </c>
      <c r="E17" s="9">
        <f t="shared" si="1"/>
        <v>0</v>
      </c>
      <c r="F17" s="9">
        <f t="shared" ref="F17:F19" si="4">D17-E17</f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</row>
    <row r="18" spans="2:27" ht="25.2" customHeight="1" x14ac:dyDescent="0.25">
      <c r="B18" s="3" t="s">
        <v>46</v>
      </c>
      <c r="C18" s="3" t="s">
        <v>33</v>
      </c>
      <c r="D18" s="9">
        <v>14</v>
      </c>
      <c r="E18" s="9">
        <f t="shared" si="1"/>
        <v>7</v>
      </c>
      <c r="F18" s="9">
        <f t="shared" si="4"/>
        <v>7</v>
      </c>
      <c r="G18" s="23">
        <v>1</v>
      </c>
      <c r="H18" s="23">
        <v>1</v>
      </c>
      <c r="I18" s="23">
        <v>1</v>
      </c>
      <c r="J18" s="23">
        <v>1</v>
      </c>
      <c r="K18" s="23">
        <v>1</v>
      </c>
      <c r="L18" s="23">
        <v>1</v>
      </c>
      <c r="M18" s="23">
        <v>1</v>
      </c>
      <c r="N18" s="23">
        <v>0</v>
      </c>
      <c r="O18" s="23">
        <v>0</v>
      </c>
      <c r="P18" s="23">
        <v>0</v>
      </c>
      <c r="Q18" s="23"/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</row>
    <row r="19" spans="2:27" ht="25.2" customHeight="1" x14ac:dyDescent="0.25">
      <c r="B19" s="3" t="s">
        <v>47</v>
      </c>
      <c r="C19" s="3" t="s">
        <v>31</v>
      </c>
      <c r="D19" s="9">
        <v>16</v>
      </c>
      <c r="E19" s="9">
        <f t="shared" si="1"/>
        <v>9</v>
      </c>
      <c r="F19" s="9">
        <f t="shared" si="4"/>
        <v>7</v>
      </c>
      <c r="G19" s="23">
        <v>0</v>
      </c>
      <c r="H19" s="23">
        <v>0</v>
      </c>
      <c r="I19" s="23">
        <v>0</v>
      </c>
      <c r="J19" s="23">
        <v>1</v>
      </c>
      <c r="K19" s="23">
        <v>1</v>
      </c>
      <c r="L19" s="23">
        <v>1</v>
      </c>
      <c r="M19" s="23">
        <v>1</v>
      </c>
      <c r="N19" s="23">
        <v>1</v>
      </c>
      <c r="O19" s="23">
        <v>1</v>
      </c>
      <c r="P19" s="23">
        <v>1</v>
      </c>
      <c r="Q19" s="23">
        <v>1</v>
      </c>
      <c r="R19" s="23">
        <v>1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</row>
    <row r="20" spans="2:27" ht="52.5" customHeight="1" x14ac:dyDescent="0.25">
      <c r="B20" s="29" t="s">
        <v>48</v>
      </c>
      <c r="C20" s="30"/>
      <c r="D20" s="9">
        <v>0</v>
      </c>
      <c r="E20" s="9">
        <f t="shared" si="1"/>
        <v>0</v>
      </c>
      <c r="F20" s="9">
        <f t="shared" ref="F20" si="5">D20-E20</f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</row>
    <row r="21" spans="2:27" ht="25.2" customHeight="1" x14ac:dyDescent="0.25">
      <c r="B21" s="3" t="s">
        <v>49</v>
      </c>
      <c r="C21" s="3" t="s">
        <v>30</v>
      </c>
      <c r="D21" s="9">
        <v>12</v>
      </c>
      <c r="E21" s="9">
        <f t="shared" si="1"/>
        <v>8</v>
      </c>
      <c r="F21" s="9">
        <f t="shared" ref="F21:F23" si="6">D21-E21</f>
        <v>4</v>
      </c>
      <c r="G21" s="23">
        <v>0</v>
      </c>
      <c r="H21" s="23">
        <v>0</v>
      </c>
      <c r="I21" s="23">
        <v>0</v>
      </c>
      <c r="J21" s="23">
        <v>1</v>
      </c>
      <c r="K21" s="23">
        <v>1</v>
      </c>
      <c r="L21" s="23">
        <v>1</v>
      </c>
      <c r="M21" s="23">
        <v>1</v>
      </c>
      <c r="N21" s="23">
        <v>1</v>
      </c>
      <c r="O21" s="23">
        <v>2</v>
      </c>
      <c r="P21" s="23">
        <v>1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</row>
    <row r="22" spans="2:27" ht="25.2" customHeight="1" x14ac:dyDescent="0.25">
      <c r="B22" s="3" t="s">
        <v>50</v>
      </c>
      <c r="C22" s="3" t="s">
        <v>33</v>
      </c>
      <c r="D22" s="9">
        <v>14</v>
      </c>
      <c r="E22" s="9">
        <f t="shared" si="1"/>
        <v>6</v>
      </c>
      <c r="F22" s="9">
        <f t="shared" si="6"/>
        <v>8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1</v>
      </c>
      <c r="P22" s="23">
        <v>1</v>
      </c>
      <c r="Q22" s="23">
        <v>1</v>
      </c>
      <c r="R22" s="23">
        <v>1</v>
      </c>
      <c r="S22" s="23">
        <v>1</v>
      </c>
      <c r="T22" s="23">
        <v>1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</row>
    <row r="23" spans="2:27" ht="25.2" customHeight="1" x14ac:dyDescent="0.25">
      <c r="B23" s="29" t="s">
        <v>51</v>
      </c>
      <c r="C23" s="30"/>
      <c r="D23" s="9">
        <v>0</v>
      </c>
      <c r="E23" s="9">
        <f t="shared" si="1"/>
        <v>0</v>
      </c>
      <c r="F23" s="9">
        <f t="shared" si="6"/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 t="s">
        <v>75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</row>
    <row r="24" spans="2:27" ht="25.2" customHeight="1" x14ac:dyDescent="0.25">
      <c r="B24" s="3" t="s">
        <v>52</v>
      </c>
      <c r="C24" s="3" t="s">
        <v>34</v>
      </c>
      <c r="D24" s="9">
        <v>10</v>
      </c>
      <c r="E24" s="9">
        <f t="shared" si="1"/>
        <v>6</v>
      </c>
      <c r="F24" s="9">
        <f t="shared" ref="F24:F26" si="7">D24-E24</f>
        <v>4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2</v>
      </c>
      <c r="S24" s="23">
        <v>2</v>
      </c>
      <c r="T24" s="23">
        <v>1</v>
      </c>
      <c r="U24" s="23">
        <v>1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</row>
    <row r="25" spans="2:27" ht="25.2" customHeight="1" x14ac:dyDescent="0.25">
      <c r="B25" s="3" t="s">
        <v>53</v>
      </c>
      <c r="C25" s="3" t="s">
        <v>33</v>
      </c>
      <c r="D25" s="9">
        <v>12</v>
      </c>
      <c r="E25" s="9">
        <f t="shared" si="1"/>
        <v>5</v>
      </c>
      <c r="F25" s="9">
        <f t="shared" si="7"/>
        <v>7</v>
      </c>
      <c r="G25" s="23">
        <v>0</v>
      </c>
      <c r="H25" s="23">
        <v>1</v>
      </c>
      <c r="I25" s="23">
        <v>1</v>
      </c>
      <c r="J25" s="23">
        <v>2</v>
      </c>
      <c r="K25" s="23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</row>
    <row r="26" spans="2:27" ht="25.2" customHeight="1" x14ac:dyDescent="0.25">
      <c r="B26" s="29" t="s">
        <v>54</v>
      </c>
      <c r="C26" s="30"/>
      <c r="D26" s="9">
        <v>0</v>
      </c>
      <c r="E26" s="9">
        <f t="shared" si="1"/>
        <v>0</v>
      </c>
      <c r="F26" s="9">
        <f t="shared" si="7"/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</row>
    <row r="27" spans="2:27" ht="25.2" customHeight="1" x14ac:dyDescent="0.25">
      <c r="B27" s="3" t="s">
        <v>55</v>
      </c>
      <c r="C27" s="3" t="s">
        <v>30</v>
      </c>
      <c r="D27" s="9">
        <v>8</v>
      </c>
      <c r="E27" s="9">
        <f t="shared" si="1"/>
        <v>4</v>
      </c>
      <c r="F27" s="9">
        <f t="shared" ref="F27:F29" si="8">D27-E27</f>
        <v>4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1</v>
      </c>
      <c r="W27" s="23">
        <v>1</v>
      </c>
      <c r="X27" s="23">
        <v>1</v>
      </c>
      <c r="Y27" s="23">
        <v>1</v>
      </c>
      <c r="Z27" s="23">
        <v>0</v>
      </c>
      <c r="AA27" s="23">
        <v>0</v>
      </c>
    </row>
    <row r="28" spans="2:27" ht="25.2" customHeight="1" x14ac:dyDescent="0.25">
      <c r="B28" s="3" t="s">
        <v>56</v>
      </c>
      <c r="C28" s="3" t="s">
        <v>31</v>
      </c>
      <c r="D28" s="9">
        <v>14</v>
      </c>
      <c r="E28" s="9">
        <f t="shared" si="1"/>
        <v>8</v>
      </c>
      <c r="F28" s="9">
        <f t="shared" si="8"/>
        <v>6</v>
      </c>
      <c r="G28" s="23">
        <v>1</v>
      </c>
      <c r="H28" s="23">
        <v>2</v>
      </c>
      <c r="I28" s="23">
        <v>1</v>
      </c>
      <c r="J28" s="23">
        <v>1</v>
      </c>
      <c r="K28" s="23">
        <v>1</v>
      </c>
      <c r="L28" s="23">
        <v>1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</row>
    <row r="29" spans="2:27" ht="25.2" customHeight="1" x14ac:dyDescent="0.25">
      <c r="B29" s="29" t="s">
        <v>57</v>
      </c>
      <c r="C29" s="30"/>
      <c r="D29" s="9">
        <v>0</v>
      </c>
      <c r="E29" s="9">
        <f t="shared" si="1"/>
        <v>0</v>
      </c>
      <c r="F29" s="9">
        <f t="shared" si="8"/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</row>
    <row r="30" spans="2:27" ht="25.2" customHeight="1" x14ac:dyDescent="0.25">
      <c r="B30" s="3" t="s">
        <v>58</v>
      </c>
      <c r="C30" s="3" t="s">
        <v>31</v>
      </c>
      <c r="D30" s="9">
        <v>16</v>
      </c>
      <c r="E30" s="9">
        <f t="shared" si="1"/>
        <v>8</v>
      </c>
      <c r="F30" s="9">
        <f t="shared" ref="F30:F31" si="9">D30-E30</f>
        <v>8</v>
      </c>
      <c r="G30" s="23">
        <v>1</v>
      </c>
      <c r="H30" s="23">
        <v>1</v>
      </c>
      <c r="I30" s="23">
        <v>2</v>
      </c>
      <c r="J30" s="23">
        <v>1</v>
      </c>
      <c r="K30" s="23">
        <v>2</v>
      </c>
      <c r="L30" s="23">
        <v>0</v>
      </c>
      <c r="M30" s="23">
        <v>1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</row>
    <row r="31" spans="2:27" ht="25.2" customHeight="1" x14ac:dyDescent="0.25">
      <c r="B31" s="3" t="s">
        <v>59</v>
      </c>
      <c r="C31" s="3" t="s">
        <v>34</v>
      </c>
      <c r="D31" s="9">
        <v>10</v>
      </c>
      <c r="E31" s="9">
        <f t="shared" si="1"/>
        <v>6</v>
      </c>
      <c r="F31" s="9">
        <f t="shared" si="9"/>
        <v>4</v>
      </c>
      <c r="G31" s="23">
        <v>0</v>
      </c>
      <c r="H31" s="23">
        <v>0</v>
      </c>
      <c r="I31" s="23">
        <v>0</v>
      </c>
      <c r="J31" s="23">
        <v>0</v>
      </c>
      <c r="K31" s="23">
        <v>1</v>
      </c>
      <c r="L31" s="23">
        <v>1</v>
      </c>
      <c r="M31" s="23">
        <v>1</v>
      </c>
      <c r="N31" s="23">
        <v>1</v>
      </c>
      <c r="O31" s="23">
        <v>1</v>
      </c>
      <c r="P31" s="23">
        <v>1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</row>
    <row r="32" spans="2:27" ht="25.2" customHeight="1" x14ac:dyDescent="0.25">
      <c r="B32" s="29" t="s">
        <v>60</v>
      </c>
      <c r="C32" s="30"/>
      <c r="D32" s="9">
        <v>0</v>
      </c>
      <c r="E32" s="9">
        <f t="shared" si="1"/>
        <v>0</v>
      </c>
      <c r="F32" s="9">
        <f t="shared" ref="F32:F34" si="10">D32-E32</f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</row>
    <row r="33" spans="2:27" ht="25.2" customHeight="1" x14ac:dyDescent="0.25">
      <c r="B33" s="3" t="s">
        <v>61</v>
      </c>
      <c r="C33" s="3" t="s">
        <v>30</v>
      </c>
      <c r="D33" s="9">
        <v>8</v>
      </c>
      <c r="E33" s="9">
        <f t="shared" si="1"/>
        <v>8</v>
      </c>
      <c r="F33" s="9">
        <f t="shared" si="10"/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1</v>
      </c>
      <c r="T33" s="23">
        <v>1</v>
      </c>
      <c r="U33" s="23">
        <v>1</v>
      </c>
      <c r="V33" s="23">
        <v>1</v>
      </c>
      <c r="W33" s="23">
        <v>1</v>
      </c>
      <c r="X33" s="23">
        <v>1</v>
      </c>
      <c r="Y33" s="23">
        <v>1</v>
      </c>
      <c r="Z33" s="23">
        <v>1</v>
      </c>
      <c r="AA33" s="23">
        <v>0</v>
      </c>
    </row>
    <row r="34" spans="2:27" ht="25.2" customHeight="1" x14ac:dyDescent="0.25">
      <c r="B34" s="3" t="s">
        <v>62</v>
      </c>
      <c r="C34" s="3" t="s">
        <v>33</v>
      </c>
      <c r="D34" s="9">
        <v>12</v>
      </c>
      <c r="E34" s="9">
        <v>6</v>
      </c>
      <c r="F34" s="9">
        <f t="shared" si="10"/>
        <v>6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1</v>
      </c>
      <c r="T34" s="23">
        <v>1</v>
      </c>
      <c r="U34" s="23">
        <v>1</v>
      </c>
      <c r="V34" s="23">
        <v>1</v>
      </c>
      <c r="W34" s="23">
        <v>1</v>
      </c>
      <c r="X34" s="23">
        <v>1</v>
      </c>
      <c r="Y34" s="23">
        <v>1</v>
      </c>
      <c r="Z34" s="23">
        <v>0</v>
      </c>
      <c r="AA34" s="23">
        <v>0</v>
      </c>
    </row>
    <row r="35" spans="2:27" ht="25.2" customHeight="1" x14ac:dyDescent="0.25">
      <c r="B35" s="29" t="s">
        <v>63</v>
      </c>
      <c r="C35" s="30"/>
      <c r="D35" s="9">
        <v>0</v>
      </c>
      <c r="E35" s="9">
        <f>SUM(G35:AA35)</f>
        <v>0</v>
      </c>
      <c r="F35" s="9">
        <f t="shared" ref="F35:F37" si="11">D35-E35</f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</row>
    <row r="36" spans="2:27" ht="25.2" customHeight="1" x14ac:dyDescent="0.25">
      <c r="B36" s="3" t="s">
        <v>64</v>
      </c>
      <c r="C36" s="3" t="s">
        <v>34</v>
      </c>
      <c r="D36" s="9">
        <v>10</v>
      </c>
      <c r="E36" s="9">
        <f>SUM(G36:AA36)</f>
        <v>6</v>
      </c>
      <c r="F36" s="9">
        <f t="shared" si="11"/>
        <v>4</v>
      </c>
      <c r="G36" s="23">
        <v>0</v>
      </c>
      <c r="H36" s="23">
        <v>0</v>
      </c>
      <c r="I36" s="23">
        <v>2</v>
      </c>
      <c r="J36" s="23">
        <v>1</v>
      </c>
      <c r="K36" s="23">
        <v>1</v>
      </c>
      <c r="L36" s="23">
        <v>1</v>
      </c>
      <c r="M36" s="23">
        <v>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</row>
    <row r="37" spans="2:27" ht="25.2" customHeight="1" x14ac:dyDescent="0.25">
      <c r="B37" s="3" t="s">
        <v>65</v>
      </c>
      <c r="C37" s="3" t="s">
        <v>31</v>
      </c>
      <c r="D37" s="9">
        <v>14</v>
      </c>
      <c r="E37" s="9">
        <v>8</v>
      </c>
      <c r="F37" s="9">
        <f t="shared" si="11"/>
        <v>6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1</v>
      </c>
      <c r="N37" s="23">
        <v>1</v>
      </c>
      <c r="O37" s="23">
        <v>1</v>
      </c>
      <c r="P37" s="23">
        <v>1</v>
      </c>
      <c r="Q37" s="23">
        <v>1</v>
      </c>
      <c r="R37" s="23">
        <v>1</v>
      </c>
      <c r="S37" s="23">
        <v>1</v>
      </c>
      <c r="T37" s="23">
        <v>1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</row>
    <row r="38" spans="2:27" ht="25.2" customHeight="1" x14ac:dyDescent="0.25">
      <c r="B38" s="29" t="s">
        <v>66</v>
      </c>
      <c r="C38" s="30"/>
      <c r="D38" s="9">
        <v>0</v>
      </c>
      <c r="E38" s="9">
        <f>SUM(G38:AA38)</f>
        <v>0</v>
      </c>
      <c r="F38" s="9">
        <f t="shared" ref="F38:F39" si="12">D38-E38</f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2:27" ht="25.2" customHeight="1" x14ac:dyDescent="0.25">
      <c r="B39" s="3" t="s">
        <v>67</v>
      </c>
      <c r="C39" s="3" t="s">
        <v>33</v>
      </c>
      <c r="D39" s="9">
        <v>8</v>
      </c>
      <c r="E39" s="9">
        <v>5</v>
      </c>
      <c r="F39" s="9">
        <f t="shared" si="12"/>
        <v>3</v>
      </c>
      <c r="G39" s="23">
        <v>2</v>
      </c>
      <c r="H39" s="23">
        <v>1</v>
      </c>
      <c r="I39" s="23">
        <v>1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1</v>
      </c>
      <c r="U39" s="23">
        <v>1</v>
      </c>
      <c r="V39" s="23">
        <v>1</v>
      </c>
      <c r="W39" s="23">
        <v>1</v>
      </c>
      <c r="X39" s="23">
        <v>1</v>
      </c>
      <c r="Y39" s="23">
        <v>0</v>
      </c>
      <c r="Z39" s="23">
        <v>0</v>
      </c>
      <c r="AA39" s="23">
        <v>0</v>
      </c>
    </row>
    <row r="40" spans="2:27" ht="25.2" customHeight="1" x14ac:dyDescent="0.25">
      <c r="B40" s="3" t="s">
        <v>68</v>
      </c>
      <c r="C40" s="3" t="s">
        <v>31</v>
      </c>
      <c r="D40" s="9">
        <v>12</v>
      </c>
      <c r="E40" s="9">
        <f>SUM(G40:AA40)</f>
        <v>10</v>
      </c>
      <c r="F40" s="9">
        <f t="shared" ref="F40" si="13">D40-E40</f>
        <v>2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1</v>
      </c>
      <c r="R40" s="23">
        <v>1</v>
      </c>
      <c r="S40" s="23">
        <v>1</v>
      </c>
      <c r="T40" s="23">
        <v>1</v>
      </c>
      <c r="U40" s="23">
        <v>1</v>
      </c>
      <c r="V40" s="23">
        <v>1</v>
      </c>
      <c r="W40" s="23">
        <v>1</v>
      </c>
      <c r="X40" s="23">
        <v>1</v>
      </c>
      <c r="Y40" s="23">
        <v>1</v>
      </c>
      <c r="Z40" s="23">
        <v>1</v>
      </c>
      <c r="AA40" s="23">
        <v>0</v>
      </c>
    </row>
    <row r="41" spans="2:27" ht="34.950000000000003" customHeight="1" x14ac:dyDescent="0.25">
      <c r="B41" s="36" t="s">
        <v>6</v>
      </c>
      <c r="C41" s="37"/>
      <c r="D41" s="11">
        <f>SUM(D8:D40)</f>
        <v>264</v>
      </c>
      <c r="E41" s="11">
        <f>SUM(E8:E40)</f>
        <v>150</v>
      </c>
      <c r="F41" s="11">
        <f>SUM(F8:F40)</f>
        <v>114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ht="21" customHeight="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x14ac:dyDescent="0.25">
      <c r="B43" s="2"/>
      <c r="C43" s="17" t="s">
        <v>25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</sheetData>
  <mergeCells count="20">
    <mergeCell ref="B41:C41"/>
    <mergeCell ref="D2:E2"/>
    <mergeCell ref="D3:E3"/>
    <mergeCell ref="F3:G3"/>
    <mergeCell ref="F2:G2"/>
    <mergeCell ref="B8:C8"/>
    <mergeCell ref="B20:C20"/>
    <mergeCell ref="B23:C23"/>
    <mergeCell ref="B26:C26"/>
    <mergeCell ref="B29:C29"/>
    <mergeCell ref="B32:C32"/>
    <mergeCell ref="B35:C35"/>
    <mergeCell ref="B38:C38"/>
    <mergeCell ref="B11:C11"/>
    <mergeCell ref="B14:C14"/>
    <mergeCell ref="B17:C17"/>
    <mergeCell ref="B1:AA1"/>
    <mergeCell ref="D6:F6"/>
    <mergeCell ref="H2:J2"/>
    <mergeCell ref="H3:J3"/>
  </mergeCells>
  <pageMargins left="0.3" right="0.3" top="0.3" bottom="0.3" header="0" footer="0"/>
  <pageSetup scale="45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3206-9177-4A12-841C-1050DA59D433}">
  <sheetPr>
    <tabColor theme="9" tint="0.59999389629810485"/>
  </sheetPr>
  <dimension ref="A2:W26"/>
  <sheetViews>
    <sheetView topLeftCell="A5" workbookViewId="0">
      <selection activeCell="G17" sqref="G17"/>
    </sheetView>
  </sheetViews>
  <sheetFormatPr defaultRowHeight="15.6" x14ac:dyDescent="0.3"/>
  <cols>
    <col min="2" max="2" width="18.69921875" customWidth="1"/>
    <col min="3" max="3" width="25.59765625" customWidth="1"/>
    <col min="4" max="4" width="16.296875" customWidth="1"/>
    <col min="5" max="5" width="13.3984375" customWidth="1"/>
    <col min="6" max="6" width="10.796875" customWidth="1"/>
  </cols>
  <sheetData>
    <row r="2" spans="1:23" ht="28.8" x14ac:dyDescent="0.55000000000000004">
      <c r="A2" s="6"/>
      <c r="B2" s="31" t="s">
        <v>29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6"/>
      <c r="V2" s="6"/>
      <c r="W2" s="6"/>
    </row>
    <row r="3" spans="1:23" ht="28.8" x14ac:dyDescent="0.55000000000000004">
      <c r="A3" s="1"/>
      <c r="B3" s="20" t="s">
        <v>7</v>
      </c>
      <c r="C3" s="21" t="s">
        <v>8</v>
      </c>
      <c r="D3" s="34" t="s">
        <v>13</v>
      </c>
      <c r="E3" s="34"/>
      <c r="F3" s="34" t="s">
        <v>12</v>
      </c>
      <c r="G3" s="34"/>
      <c r="H3" s="34" t="s">
        <v>14</v>
      </c>
      <c r="I3" s="34"/>
      <c r="J3" s="3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</row>
    <row r="4" spans="1:23" ht="28.8" x14ac:dyDescent="0.55000000000000004">
      <c r="A4" s="1"/>
      <c r="B4" s="18">
        <v>45946</v>
      </c>
      <c r="C4" s="18">
        <v>45946</v>
      </c>
      <c r="D4" s="35">
        <f>D24</f>
        <v>61</v>
      </c>
      <c r="E4" s="35"/>
      <c r="F4" s="35">
        <f>E24</f>
        <v>43</v>
      </c>
      <c r="G4" s="35"/>
      <c r="H4" s="35">
        <f>F24</f>
        <v>18</v>
      </c>
      <c r="I4" s="35"/>
      <c r="J4" s="35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</row>
    <row r="5" spans="1:23" ht="60" customHeight="1" x14ac:dyDescent="0.55000000000000004">
      <c r="A5" s="1"/>
      <c r="B5" s="22" t="s">
        <v>26</v>
      </c>
      <c r="C5" s="19" t="s">
        <v>77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"/>
      <c r="V5" s="1"/>
      <c r="W5" s="1"/>
    </row>
    <row r="6" spans="1:23" ht="28.8" x14ac:dyDescent="0.55000000000000004">
      <c r="A6" s="1"/>
      <c r="B6" s="7"/>
      <c r="C6" s="4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"/>
      <c r="V6" s="1"/>
      <c r="W6" s="1"/>
    </row>
    <row r="7" spans="1:23" ht="26.4" x14ac:dyDescent="0.3">
      <c r="A7" s="1"/>
      <c r="B7" s="24" t="s">
        <v>9</v>
      </c>
      <c r="C7" s="25"/>
      <c r="D7" s="33"/>
      <c r="E7" s="33"/>
      <c r="F7" s="33"/>
      <c r="G7" s="16" t="s">
        <v>28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</row>
    <row r="8" spans="1:23" ht="37.799999999999997" x14ac:dyDescent="0.3">
      <c r="A8" s="1"/>
      <c r="B8" s="8" t="s">
        <v>24</v>
      </c>
      <c r="C8" s="8" t="s">
        <v>0</v>
      </c>
      <c r="D8" s="14" t="s">
        <v>10</v>
      </c>
      <c r="E8" s="14" t="s">
        <v>12</v>
      </c>
      <c r="F8" s="14" t="s">
        <v>11</v>
      </c>
      <c r="G8" s="12" t="s">
        <v>1</v>
      </c>
      <c r="H8" s="12" t="s">
        <v>2</v>
      </c>
      <c r="I8" s="12" t="s">
        <v>3</v>
      </c>
      <c r="J8" s="12" t="s">
        <v>4</v>
      </c>
      <c r="K8" s="12" t="s">
        <v>5</v>
      </c>
      <c r="L8" s="12" t="s">
        <v>15</v>
      </c>
      <c r="M8" s="12" t="s">
        <v>16</v>
      </c>
      <c r="N8" s="12" t="s">
        <v>17</v>
      </c>
      <c r="O8" s="12" t="s">
        <v>18</v>
      </c>
      <c r="P8" s="12" t="s">
        <v>19</v>
      </c>
      <c r="Q8" s="12" t="s">
        <v>20</v>
      </c>
      <c r="R8" s="12" t="s">
        <v>21</v>
      </c>
      <c r="S8" s="12" t="s">
        <v>22</v>
      </c>
      <c r="T8" s="12" t="s">
        <v>23</v>
      </c>
      <c r="U8" s="1"/>
      <c r="V8" s="1"/>
      <c r="W8" s="1"/>
    </row>
    <row r="9" spans="1:23" ht="46.2" customHeight="1" x14ac:dyDescent="0.3">
      <c r="A9" s="1"/>
      <c r="B9" s="29" t="s">
        <v>78</v>
      </c>
      <c r="C9" s="30"/>
      <c r="D9" s="9">
        <v>5</v>
      </c>
      <c r="E9" s="9">
        <f>SUM(G9:T9)</f>
        <v>5</v>
      </c>
      <c r="F9" s="9">
        <f>D9-E9</f>
        <v>0</v>
      </c>
      <c r="G9" s="3">
        <v>5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1"/>
      <c r="V9" s="1"/>
      <c r="W9" s="1"/>
    </row>
    <row r="10" spans="1:23" ht="55.95" customHeight="1" x14ac:dyDescent="0.3">
      <c r="A10" s="1"/>
      <c r="B10" s="26" t="s">
        <v>79</v>
      </c>
      <c r="C10" s="26" t="s">
        <v>30</v>
      </c>
      <c r="D10" s="9">
        <v>3</v>
      </c>
      <c r="E10" s="9">
        <f>SUM(G10:T10)</f>
        <v>2</v>
      </c>
      <c r="F10" s="9">
        <f t="shared" ref="F10:F11" si="0">D10-E10</f>
        <v>1</v>
      </c>
      <c r="G10" s="3">
        <v>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1"/>
      <c r="V10" s="1"/>
      <c r="W10" s="1"/>
    </row>
    <row r="11" spans="1:23" ht="55.2" customHeight="1" x14ac:dyDescent="0.3">
      <c r="A11" s="1"/>
      <c r="B11" s="26" t="s">
        <v>80</v>
      </c>
      <c r="C11" s="26" t="s">
        <v>81</v>
      </c>
      <c r="D11" s="9">
        <v>3</v>
      </c>
      <c r="E11" s="9">
        <f>SUM(G11:T11)</f>
        <v>3</v>
      </c>
      <c r="F11" s="9">
        <f t="shared" si="0"/>
        <v>0</v>
      </c>
      <c r="G11" s="3">
        <v>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1"/>
      <c r="V11" s="1"/>
      <c r="W11" s="1"/>
    </row>
    <row r="12" spans="1:23" ht="57.6" customHeight="1" x14ac:dyDescent="0.3">
      <c r="A12" s="1"/>
      <c r="B12" s="29" t="s">
        <v>82</v>
      </c>
      <c r="C12" s="30"/>
      <c r="D12" s="9">
        <v>4</v>
      </c>
      <c r="E12" s="9">
        <f>SUM(G12:T12)</f>
        <v>2</v>
      </c>
      <c r="F12" s="9">
        <f>D12-E12</f>
        <v>2</v>
      </c>
      <c r="G12" s="3">
        <v>0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1"/>
      <c r="V12" s="1"/>
      <c r="W12" s="1"/>
    </row>
    <row r="13" spans="1:23" ht="57.6" customHeight="1" x14ac:dyDescent="0.3">
      <c r="A13" s="1"/>
      <c r="B13" s="27" t="s">
        <v>83</v>
      </c>
      <c r="C13" s="28" t="s">
        <v>84</v>
      </c>
      <c r="D13" s="9">
        <v>3</v>
      </c>
      <c r="E13" s="9">
        <v>2</v>
      </c>
      <c r="F13" s="9">
        <v>1</v>
      </c>
      <c r="G13" s="3">
        <v>0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1"/>
      <c r="V13" s="1"/>
      <c r="W13" s="1"/>
    </row>
    <row r="14" spans="1:23" ht="54.6" customHeight="1" x14ac:dyDescent="0.3">
      <c r="A14" s="1"/>
      <c r="B14" s="29" t="s">
        <v>85</v>
      </c>
      <c r="C14" s="30"/>
      <c r="D14" s="9">
        <v>8</v>
      </c>
      <c r="E14" s="9">
        <f t="shared" ref="E14:E18" si="1">SUM(G14:T14)</f>
        <v>6</v>
      </c>
      <c r="F14" s="9">
        <f t="shared" ref="F14:F20" si="2">D14-E14</f>
        <v>2</v>
      </c>
      <c r="G14" s="3">
        <v>5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1"/>
      <c r="V14" s="1"/>
      <c r="W14" s="1"/>
    </row>
    <row r="15" spans="1:23" ht="71.400000000000006" customHeight="1" x14ac:dyDescent="0.3">
      <c r="A15" s="1"/>
      <c r="B15" s="26" t="s">
        <v>86</v>
      </c>
      <c r="C15" s="26" t="s">
        <v>87</v>
      </c>
      <c r="D15" s="9">
        <v>3</v>
      </c>
      <c r="E15" s="9">
        <f t="shared" si="1"/>
        <v>3</v>
      </c>
      <c r="F15" s="9">
        <f t="shared" si="2"/>
        <v>0</v>
      </c>
      <c r="G15" s="3">
        <v>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1"/>
      <c r="V15" s="1"/>
      <c r="W15" s="1"/>
    </row>
    <row r="16" spans="1:23" ht="73.95" customHeight="1" x14ac:dyDescent="0.3">
      <c r="A16" s="1"/>
      <c r="B16" s="26" t="s">
        <v>88</v>
      </c>
      <c r="C16" s="26" t="s">
        <v>30</v>
      </c>
      <c r="D16" s="9">
        <v>4</v>
      </c>
      <c r="E16" s="9">
        <f t="shared" si="1"/>
        <v>2</v>
      </c>
      <c r="F16" s="9">
        <f t="shared" si="2"/>
        <v>2</v>
      </c>
      <c r="G16" s="3">
        <v>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1"/>
      <c r="V16" s="1"/>
      <c r="W16" s="1"/>
    </row>
    <row r="17" spans="1:23" ht="68.400000000000006" customHeight="1" x14ac:dyDescent="0.3">
      <c r="A17" s="1"/>
      <c r="B17" s="26" t="s">
        <v>89</v>
      </c>
      <c r="C17" s="26" t="s">
        <v>90</v>
      </c>
      <c r="D17" s="9">
        <v>1</v>
      </c>
      <c r="E17" s="9">
        <f t="shared" si="1"/>
        <v>1</v>
      </c>
      <c r="F17" s="9">
        <f t="shared" si="2"/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1"/>
      <c r="V17" s="1"/>
      <c r="W17" s="1"/>
    </row>
    <row r="18" spans="1:23" ht="62.4" customHeight="1" x14ac:dyDescent="0.3">
      <c r="A18" s="1"/>
      <c r="B18" s="29" t="s">
        <v>91</v>
      </c>
      <c r="C18" s="30"/>
      <c r="D18" s="9">
        <v>6</v>
      </c>
      <c r="E18" s="9">
        <f t="shared" si="1"/>
        <v>3</v>
      </c>
      <c r="F18" s="9">
        <f t="shared" si="2"/>
        <v>3</v>
      </c>
      <c r="G18" s="3">
        <v>0</v>
      </c>
      <c r="H18" s="3">
        <v>0</v>
      </c>
      <c r="I18" s="3">
        <v>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1"/>
      <c r="V18" s="1"/>
      <c r="W18" s="1"/>
    </row>
    <row r="19" spans="1:23" ht="74.400000000000006" customHeight="1" x14ac:dyDescent="0.3">
      <c r="A19" s="1"/>
      <c r="B19" s="26" t="s">
        <v>92</v>
      </c>
      <c r="C19" s="26" t="s">
        <v>93</v>
      </c>
      <c r="D19" s="9">
        <v>4</v>
      </c>
      <c r="E19" s="9">
        <v>4</v>
      </c>
      <c r="F19" s="9">
        <f t="shared" si="2"/>
        <v>0</v>
      </c>
      <c r="G19" s="3">
        <v>0</v>
      </c>
      <c r="H19" s="3">
        <v>0</v>
      </c>
      <c r="I19" s="3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1"/>
      <c r="V19" s="1"/>
      <c r="W19" s="1"/>
    </row>
    <row r="20" spans="1:23" ht="72" customHeight="1" x14ac:dyDescent="0.3">
      <c r="A20" s="1"/>
      <c r="B20" s="26" t="s">
        <v>94</v>
      </c>
      <c r="C20" s="26" t="s">
        <v>95</v>
      </c>
      <c r="D20" s="9">
        <v>5</v>
      </c>
      <c r="E20" s="9">
        <f t="shared" ref="E20" si="3">SUM(G20:T20)</f>
        <v>2</v>
      </c>
      <c r="F20" s="9">
        <f t="shared" si="2"/>
        <v>3</v>
      </c>
      <c r="G20" s="3">
        <v>0</v>
      </c>
      <c r="H20" s="3">
        <v>0</v>
      </c>
      <c r="I20" s="3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1"/>
      <c r="V20" s="1"/>
      <c r="W20" s="1"/>
    </row>
    <row r="21" spans="1:23" ht="53.4" customHeight="1" x14ac:dyDescent="0.3">
      <c r="A21" s="1"/>
      <c r="B21" s="29" t="s">
        <v>96</v>
      </c>
      <c r="C21" s="30"/>
      <c r="D21" s="9">
        <v>12</v>
      </c>
      <c r="E21" s="9">
        <f>SUM(G21:T21)</f>
        <v>8</v>
      </c>
      <c r="F21" s="9">
        <v>4</v>
      </c>
      <c r="G21" s="3">
        <v>0</v>
      </c>
      <c r="H21" s="3">
        <v>0</v>
      </c>
      <c r="I21" s="3">
        <v>3</v>
      </c>
      <c r="J21" s="3">
        <v>3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1"/>
      <c r="V21" s="1"/>
      <c r="W21" s="1"/>
    </row>
    <row r="22" spans="1:23" ht="69" customHeight="1" x14ac:dyDescent="0.3">
      <c r="A22" s="1"/>
      <c r="B22" s="26" t="s">
        <v>97</v>
      </c>
      <c r="C22" s="26" t="s">
        <v>98</v>
      </c>
      <c r="D22" s="9">
        <v>4</v>
      </c>
      <c r="E22" s="9">
        <v>3</v>
      </c>
      <c r="F22" s="9">
        <v>1</v>
      </c>
      <c r="G22" s="3">
        <v>0</v>
      </c>
      <c r="H22" s="3">
        <v>0</v>
      </c>
      <c r="I22" s="3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1"/>
      <c r="V22" s="1"/>
      <c r="W22" s="1"/>
    </row>
    <row r="23" spans="1:23" ht="60" customHeight="1" x14ac:dyDescent="0.3">
      <c r="A23" s="1"/>
      <c r="B23" s="26" t="s">
        <v>99</v>
      </c>
      <c r="C23" s="26" t="s">
        <v>93</v>
      </c>
      <c r="D23" s="9">
        <v>8</v>
      </c>
      <c r="E23" s="9">
        <v>5</v>
      </c>
      <c r="F23" s="9">
        <v>3</v>
      </c>
      <c r="G23" s="3">
        <v>0</v>
      </c>
      <c r="H23" s="3">
        <v>0</v>
      </c>
      <c r="I23" s="3">
        <v>0</v>
      </c>
      <c r="J23" s="3">
        <v>3</v>
      </c>
      <c r="K23" s="3">
        <v>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1"/>
      <c r="V23" s="1"/>
      <c r="W23" s="1"/>
    </row>
    <row r="24" spans="1:23" ht="16.8" x14ac:dyDescent="0.3">
      <c r="A24" s="1"/>
      <c r="B24" s="36" t="s">
        <v>6</v>
      </c>
      <c r="C24" s="37"/>
      <c r="D24" s="11">
        <f>SUM(D9:D21)</f>
        <v>61</v>
      </c>
      <c r="E24" s="11">
        <f>SUM(E9:E21)</f>
        <v>43</v>
      </c>
      <c r="F24" s="11">
        <f>SUM(F9:F21)</f>
        <v>18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"/>
      <c r="V24" s="1"/>
      <c r="W24" s="1"/>
    </row>
    <row r="25" spans="1:23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"/>
      <c r="V25" s="1"/>
      <c r="W25" s="1"/>
    </row>
    <row r="26" spans="1:23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"/>
      <c r="V26" s="1"/>
      <c r="W26" s="1"/>
    </row>
  </sheetData>
  <mergeCells count="14">
    <mergeCell ref="B12:C12"/>
    <mergeCell ref="B14:C14"/>
    <mergeCell ref="B18:C18"/>
    <mergeCell ref="B21:C21"/>
    <mergeCell ref="B24:C24"/>
    <mergeCell ref="D7:F7"/>
    <mergeCell ref="B9:C9"/>
    <mergeCell ref="B2:T2"/>
    <mergeCell ref="D3:E3"/>
    <mergeCell ref="F3:G3"/>
    <mergeCell ref="H3:J3"/>
    <mergeCell ref="D4:E4"/>
    <mergeCell ref="F4:G4"/>
    <mergeCell ref="H4:J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22a619-0017-4c02-97c5-bdd37e0890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96C1A2BE66D4BA7B7CBDF0D844F68" ma:contentTypeVersion="9" ma:contentTypeDescription="Create a new document." ma:contentTypeScope="" ma:versionID="3ccf07fb9d6dc4d5db476c5fc4ad7c9e">
  <xsd:schema xmlns:xsd="http://www.w3.org/2001/XMLSchema" xmlns:xs="http://www.w3.org/2001/XMLSchema" xmlns:p="http://schemas.microsoft.com/office/2006/metadata/properties" xmlns:ns3="f122a619-0017-4c02-97c5-bdd37e08902b" xmlns:ns4="e22d8746-2e36-4e7e-b250-d17f74785e83" targetNamespace="http://schemas.microsoft.com/office/2006/metadata/properties" ma:root="true" ma:fieldsID="f8d84c9a55576547c4289a6b6ebe8ae4" ns3:_="" ns4:_="">
    <xsd:import namespace="f122a619-0017-4c02-97c5-bdd37e08902b"/>
    <xsd:import namespace="e22d8746-2e36-4e7e-b250-d17f74785e8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2a619-0017-4c02-97c5-bdd37e08902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d8746-2e36-4e7e-b250-d17f74785e8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32C9C1-B986-42A7-801A-50A3124E00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030A7D-D0F0-48AD-8EE9-BD8D60A7C696}">
  <ds:schemaRefs>
    <ds:schemaRef ds:uri="http://purl.org/dc/elements/1.1/"/>
    <ds:schemaRef ds:uri="f122a619-0017-4c02-97c5-bdd37e08902b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e22d8746-2e36-4e7e-b250-d17f74785e83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34FBB67-31A0-4E67-BA2C-5F807602735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122a619-0017-4c02-97c5-bdd37e08902b"/>
    <ds:schemaRef ds:uri="e22d8746-2e36-4e7e-b250-d17f74785e8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Sprint Backlog2</vt:lpstr>
      <vt:lpstr> Sprint Backlog1</vt:lpstr>
      <vt:lpstr>' Sprint Backlog2'!Print_Area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جود ابراهيم محمد القزلان</cp:lastModifiedBy>
  <cp:lastPrinted>2022-09-05T00:55:14Z</cp:lastPrinted>
  <dcterms:created xsi:type="dcterms:W3CDTF">2016-02-12T20:53:16Z</dcterms:created>
  <dcterms:modified xsi:type="dcterms:W3CDTF">2025-12-08T20:26:31Z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0x010100B7596C1A2BE66D4BA7B7CBDF0D844F68</vt:lpwstr>
  </property>
</Properties>
</file>