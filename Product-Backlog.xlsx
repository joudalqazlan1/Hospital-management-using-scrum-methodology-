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4fa179e6e561cc/سطح المكتب/Hospital_Mangement_SW332/"/>
    </mc:Choice>
  </mc:AlternateContent>
  <xr:revisionPtr revIDLastSave="0" documentId="8_{D4FC1271-D717-4AC5-8300-95F5C8E8CC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nal Product Backlog3" sheetId="7" r:id="rId1"/>
    <sheet name="proudect Backlog2" sheetId="9" r:id="rId2"/>
    <sheet name="Proudct Backlog1" sheetId="10" r:id="rId3"/>
  </sheets>
  <externalReferences>
    <externalReference r:id="rId4"/>
    <externalReference r:id="rId5"/>
  </externalReferences>
  <definedNames>
    <definedName name="Interval">'[1]12-Month Sales Forecast'!#REF!</definedName>
    <definedName name="_xlnm.Print_Area" localSheetId="0">'Final Product Backlog3'!$B$1:$I$25</definedName>
    <definedName name="ScheduleStart">'[1]12-Month Sales Forecast'!#REF!</definedName>
    <definedName name="Type" localSheetId="0">'[2]Maintenance Work Order'!#REF!</definedName>
    <definedName name="Type">'[2]Maintenance Work Order'!#REF!</definedName>
  </definedNames>
  <calcPr calcId="191028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8" i="9" l="1"/>
  <c r="H25" i="7"/>
</calcChain>
</file>

<file path=xl/sharedStrings.xml><?xml version="1.0" encoding="utf-8"?>
<sst xmlns="http://schemas.openxmlformats.org/spreadsheetml/2006/main" count="329" uniqueCount="101">
  <si>
    <t>PRODUCT BACKLOG</t>
  </si>
  <si>
    <t>STATUS</t>
  </si>
  <si>
    <t>PRIORITY</t>
  </si>
  <si>
    <t>ID</t>
  </si>
  <si>
    <t>AS A …</t>
  </si>
  <si>
    <t>I WANT TO …</t>
  </si>
  <si>
    <t>SO THAT …</t>
  </si>
  <si>
    <t>Number of SPRINTs</t>
  </si>
  <si>
    <t>Not Started</t>
  </si>
  <si>
    <t>High</t>
  </si>
  <si>
    <t>Administrator</t>
  </si>
  <si>
    <t>register doctors, nurses, and staff</t>
  </si>
  <si>
    <t>I can manage user access and system roles</t>
  </si>
  <si>
    <t>Complete</t>
  </si>
  <si>
    <t>In Progress</t>
  </si>
  <si>
    <t>Medium</t>
  </si>
  <si>
    <t>Doctor</t>
  </si>
  <si>
    <t xml:space="preserve"> view a patient’s full medical record before treatment</t>
  </si>
  <si>
    <t>so that I can make accurate diagnoses and decisions</t>
  </si>
  <si>
    <t>Low</t>
  </si>
  <si>
    <t>Patient</t>
  </si>
  <si>
    <t>register and create an account</t>
  </si>
  <si>
    <t>I can book appointments and access my medical records</t>
  </si>
  <si>
    <t>Overdue</t>
  </si>
  <si>
    <t xml:space="preserve">  Patient</t>
  </si>
  <si>
    <t xml:space="preserve"> book an appointment online</t>
  </si>
  <si>
    <t>so that I can choose a convenient time with my preferred doctor</t>
  </si>
  <si>
    <t>On Hold</t>
  </si>
  <si>
    <t>view my patient list and appointments</t>
  </si>
  <si>
    <t>I manage my daily schedule efficiently</t>
  </si>
  <si>
    <t>Lab Technician</t>
  </si>
  <si>
    <t>upload test results to the system</t>
  </si>
  <si>
    <t>doctors can access lab data without delay</t>
  </si>
  <si>
    <t>Nurse</t>
  </si>
  <si>
    <t>update patient's vital signs and daily progress</t>
  </si>
  <si>
    <t>doctors can monitor patient condition in real life</t>
  </si>
  <si>
    <t>Accountant</t>
  </si>
  <si>
    <t>generate billing and payment reports</t>
  </si>
  <si>
    <t>I can track hospital revenue and patient payments</t>
  </si>
  <si>
    <t>request lab tests and view results digitally</t>
  </si>
  <si>
    <t>I can make faster medical decisions</t>
  </si>
  <si>
    <t>Pharmacist</t>
  </si>
  <si>
    <t>manage and update available medicines in the inventory</t>
  </si>
  <si>
    <t>I can ensure that prescriptions are filled correctly</t>
  </si>
  <si>
    <t>generate reports on hospital performance and staff activity</t>
  </si>
  <si>
    <t>I can evaluate efficiency and improve management</t>
  </si>
  <si>
    <t>pay medical bills online securely</t>
  </si>
  <si>
    <t>I can complete my payments easily from home</t>
  </si>
  <si>
    <t>view prescriptions and lab results online</t>
  </si>
  <si>
    <t>I can stay informed about my health status</t>
  </si>
  <si>
    <t>receive appointment reminders via SMS or email</t>
  </si>
  <si>
    <t>I won't forget my scheduled visits</t>
  </si>
  <si>
    <t>communicate with other doctors through secure messaging</t>
  </si>
  <si>
    <t>TOTAL</t>
  </si>
  <si>
    <t>So that I can check if my insurance is valid and see my coverage amount</t>
  </si>
  <si>
    <t>register hospital staff</t>
  </si>
  <si>
    <t>Size</t>
  </si>
  <si>
    <t>S</t>
  </si>
  <si>
    <t xml:space="preserve">S </t>
  </si>
  <si>
    <t xml:space="preserve"> IT Administrator</t>
  </si>
  <si>
    <t>Accountant Administrator</t>
  </si>
  <si>
    <t>Marketing Administrator</t>
  </si>
  <si>
    <t>send promotional offers to patients via email</t>
  </si>
  <si>
    <t>I can attract more customers</t>
  </si>
  <si>
    <t>I can get assistance with my medical queries or issues</t>
  </si>
  <si>
    <t>contact customer service via Chat</t>
  </si>
  <si>
    <t>M</t>
  </si>
  <si>
    <t>pay medical bills online securely (visa , mada , apple pay)</t>
  </si>
  <si>
    <t xml:space="preserve"> I can choose a time that suits me.</t>
  </si>
  <si>
    <t>view a list of available doctors</t>
  </si>
  <si>
    <t>I can choose one based on my preferences</t>
  </si>
  <si>
    <t>L</t>
  </si>
  <si>
    <t>receive appointment reminders via  email</t>
  </si>
  <si>
    <t>receive an email confirmation of my appointment</t>
  </si>
  <si>
    <t xml:space="preserve"> I have a record of it.</t>
  </si>
  <si>
    <t xml:space="preserve"> enter my insurance information in the hospital website </t>
  </si>
  <si>
    <t xml:space="preserve"> be able to select an available time slot for an appointment with the doctor</t>
  </si>
  <si>
    <t xml:space="preserve">  L</t>
  </si>
  <si>
    <t xml:space="preserve">Patient </t>
  </si>
  <si>
    <t xml:space="preserve"> enter my ID number and insurance company name on the hospital’s website</t>
  </si>
  <si>
    <t>Patient ( note* if  if the insurance is valid )</t>
  </si>
  <si>
    <t>I can check if the insurance is valid to me or not.</t>
  </si>
  <si>
    <t>I can benefit from the insurance coverage.</t>
  </si>
  <si>
    <t>I can know if the insurance will cover my medical expenses.</t>
  </si>
  <si>
    <t>hospital manager</t>
  </si>
  <si>
    <t>be able to supervise and view all employee details and supported insurance
 companies in the hospital system</t>
  </si>
  <si>
    <t xml:space="preserve">I can ensure smooth operations </t>
  </si>
  <si>
    <t>the discount to be applied to the total amount due when paying the bill</t>
  </si>
  <si>
    <t xml:space="preserve">   M</t>
  </si>
  <si>
    <t>I want to book an appointment online</t>
  </si>
  <si>
    <t>Receptionist</t>
  </si>
  <si>
    <t xml:space="preserve">  schedule appointments for patients</t>
  </si>
  <si>
    <t>I can organize doctor availability and bookings</t>
  </si>
  <si>
    <t>AS A ...</t>
  </si>
  <si>
    <t>I WANT TO ...</t>
  </si>
  <si>
    <t>SO THAT ...</t>
  </si>
  <si>
    <t>book an appointment online</t>
  </si>
  <si>
    <t>view a patient's full medical record before treatment</t>
  </si>
  <si>
    <t>enter my insurance information in the hospital application</t>
  </si>
  <si>
    <t>I can discuss patient cases easily!</t>
  </si>
  <si>
    <t>receive a response through an interface that tells me whether my request 
is accepted or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</si>
</sst>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5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entury Gothic"/>
      <family val="1"/>
    </font>
    <font>
      <sz val="12"/>
      <color theme="0" tint="-0.499984740745262"/>
      <name val="Century Gothic"/>
      <family val="1"/>
    </font>
    <font>
      <sz val="10"/>
      <color theme="0" tint="-0.499984740745262"/>
      <name val="Century Gothic"/>
      <family val="1"/>
    </font>
    <font>
      <b/>
      <sz val="22"/>
      <color theme="1" tint="0.34998626667073579"/>
      <name val="Century Gothic"/>
      <family val="2"/>
    </font>
    <font>
      <sz val="14"/>
      <color theme="1" tint="0.34998626667073579"/>
      <name val="Century Gothic"/>
      <family val="1"/>
    </font>
    <font>
      <sz val="12"/>
      <color theme="8" tint="-0.249977111117893"/>
      <name val="Century Gothic"/>
      <family val="1"/>
    </font>
    <font>
      <sz val="12"/>
      <color theme="0"/>
      <name val="Century Gothic"/>
      <family val="1"/>
    </font>
    <font>
      <sz val="10"/>
      <color rgb="FF000000"/>
      <name val="Century Gothic"/>
      <family val="1"/>
    </font>
    <font>
      <sz val="12"/>
      <color theme="0"/>
      <name val="Century Gothic"/>
      <family val="2"/>
    </font>
    <font>
      <sz val="10"/>
      <color theme="1"/>
      <name val="Century Gothic"/>
    </font>
    <font>
      <b/>
      <sz val="22"/>
      <color theme="1" tint="0.34998626667073579"/>
      <name val="Century Gothic"/>
    </font>
    <font>
      <b/>
      <sz val="12"/>
      <color theme="1" tint="0.34998626667073579"/>
      <name val="Century Gothic"/>
    </font>
    <font>
      <sz val="12"/>
      <color theme="0"/>
      <name val="Century Gothic"/>
    </font>
    <font>
      <b/>
      <sz val="20"/>
      <color rgb="FF000000"/>
      <name val="Calibri"/>
      <family val="2"/>
      <scheme val="minor"/>
    </font>
    <font>
      <b/>
      <sz val="12"/>
      <color rgb="FFA6A6A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2"/>
      <color theme="8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1"/>
      <name val="Century Gothic"/>
      <family val="2"/>
    </font>
    <font>
      <b/>
      <sz val="10"/>
      <color rgb="FF000000"/>
      <name val="Century Gothic"/>
      <family val="1"/>
    </font>
    <font>
      <b/>
      <sz val="12"/>
      <color theme="1"/>
      <name val="Calibri"/>
      <family val="2"/>
      <scheme val="minor"/>
    </font>
    <font>
      <b/>
      <sz val="12"/>
      <color theme="0"/>
      <name val="Century Gothic"/>
      <family val="1"/>
    </font>
    <font>
      <b/>
      <sz val="12"/>
      <color theme="1" tint="0.34998626667073579"/>
      <name val="Century Gothic"/>
      <family val="2"/>
    </font>
    <font>
      <b/>
      <sz val="12"/>
      <color theme="1"/>
      <name val="Century Gothic"/>
      <family val="1"/>
    </font>
  </fonts>
  <fills count="1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D93D"/>
        <bgColor rgb="FFFFD93D"/>
      </patternFill>
    </fill>
    <fill>
      <patternFill patternType="solid">
        <fgColor rgb="FF95E1D3"/>
        <bgColor rgb="FF95E1D3"/>
      </patternFill>
    </fill>
    <fill>
      <patternFill patternType="solid">
        <fgColor rgb="FF7F7F7F"/>
        <bgColor rgb="FF7F7F7F"/>
      </patternFill>
    </fill>
    <fill>
      <patternFill patternType="solid">
        <fgColor theme="4" tint="0.39997558519241921"/>
        <bgColor rgb="FFB4C7E7"/>
      </patternFill>
    </fill>
    <fill>
      <patternFill patternType="solid">
        <fgColor rgb="FF00B050"/>
        <bgColor rgb="FFA8E6CF"/>
      </patternFill>
    </fill>
    <fill>
      <patternFill patternType="solid">
        <fgColor rgb="FF92D050"/>
        <bgColor rgb="FFFFD3B6"/>
      </patternFill>
    </fill>
    <fill>
      <patternFill patternType="solid">
        <fgColor rgb="FFFF0000"/>
        <bgColor rgb="FFFF6B6B"/>
      </patternFill>
    </fill>
    <fill>
      <patternFill patternType="solid">
        <fgColor rgb="FF9DE8FF"/>
        <bgColor rgb="FFB4C7E7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left" vertical="center" wrapText="1" indent="1"/>
    </xf>
    <xf numFmtId="164" fontId="2" fillId="0" borderId="2" xfId="0" applyNumberFormat="1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1" fillId="4" borderId="2" xfId="0" applyFont="1" applyFill="1" applyBorder="1" applyAlignment="1">
      <alignment horizontal="left" vertical="center" wrapText="1" indent="1"/>
    </xf>
    <xf numFmtId="0" fontId="11" fillId="4" borderId="2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13" fillId="3" borderId="1" xfId="0" applyFont="1" applyFill="1" applyBorder="1" applyAlignment="1">
      <alignment horizontal="left" vertical="center" wrapText="1" indent="1" readingOrder="1"/>
    </xf>
    <xf numFmtId="0" fontId="2" fillId="9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 readingOrder="1"/>
    </xf>
    <xf numFmtId="0" fontId="13" fillId="10" borderId="1" xfId="0" applyFont="1" applyFill="1" applyBorder="1" applyAlignment="1">
      <alignment horizontal="left" vertical="center" wrapText="1" indent="1" readingOrder="1"/>
    </xf>
    <xf numFmtId="0" fontId="14" fillId="7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1" fillId="6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1" fontId="15" fillId="5" borderId="2" xfId="0" applyNumberFormat="1" applyFont="1" applyFill="1" applyBorder="1" applyAlignment="1">
      <alignment horizontal="center" vertical="center"/>
    </xf>
    <xf numFmtId="1" fontId="17" fillId="5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3" borderId="0" xfId="0" applyFont="1" applyFill="1"/>
    <xf numFmtId="0" fontId="1" fillId="3" borderId="0" xfId="0" applyFont="1" applyFill="1"/>
    <xf numFmtId="0" fontId="18" fillId="7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15" fillId="0" borderId="0" xfId="0" applyFont="1"/>
    <xf numFmtId="0" fontId="22" fillId="0" borderId="11" xfId="0" applyFont="1" applyBorder="1" applyAlignment="1">
      <alignment wrapText="1"/>
    </xf>
    <xf numFmtId="0" fontId="23" fillId="11" borderId="11" xfId="0" applyFont="1" applyFill="1" applyBorder="1" applyAlignment="1">
      <alignment wrapText="1"/>
    </xf>
    <xf numFmtId="0" fontId="23" fillId="12" borderId="11" xfId="0" applyFont="1" applyFill="1" applyBorder="1" applyAlignment="1">
      <alignment wrapText="1"/>
    </xf>
    <xf numFmtId="0" fontId="24" fillId="13" borderId="11" xfId="0" applyFont="1" applyFill="1" applyBorder="1" applyAlignment="1">
      <alignment wrapText="1"/>
    </xf>
    <xf numFmtId="0" fontId="21" fillId="14" borderId="11" xfId="0" applyFont="1" applyFill="1" applyBorder="1" applyAlignment="1">
      <alignment wrapText="1"/>
    </xf>
    <xf numFmtId="0" fontId="23" fillId="15" borderId="11" xfId="0" applyFont="1" applyFill="1" applyBorder="1" applyAlignment="1">
      <alignment wrapText="1"/>
    </xf>
    <xf numFmtId="0" fontId="23" fillId="16" borderId="11" xfId="0" applyFont="1" applyFill="1" applyBorder="1" applyAlignment="1">
      <alignment wrapText="1"/>
    </xf>
    <xf numFmtId="0" fontId="25" fillId="17" borderId="11" xfId="0" applyFont="1" applyFill="1" applyBorder="1" applyAlignment="1">
      <alignment wrapText="1"/>
    </xf>
    <xf numFmtId="0" fontId="23" fillId="18" borderId="11" xfId="0" applyFont="1" applyFill="1" applyBorder="1" applyAlignment="1">
      <alignment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0" fontId="2" fillId="0" borderId="2" xfId="0" applyFont="1" applyBorder="1" applyAlignment="1">
      <alignment horizontal="left" vertical="center" wrapText="1" indent="1"/>
    </xf>
    <xf numFmtId="0" fontId="12" fillId="6" borderId="3" xfId="0" applyFont="1" applyFill="1" applyBorder="1" applyAlignment="1">
      <alignment horizontal="right" vertical="center" wrapText="1" indent="1"/>
    </xf>
    <xf numFmtId="0" fontId="12" fillId="6" borderId="5" xfId="0" applyFont="1" applyFill="1" applyBorder="1" applyAlignment="1">
      <alignment horizontal="right" vertical="center" wrapText="1" indent="1"/>
    </xf>
    <xf numFmtId="0" fontId="12" fillId="6" borderId="4" xfId="0" applyFont="1" applyFill="1" applyBorder="1" applyAlignment="1">
      <alignment horizontal="righ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6" fillId="0" borderId="0" xfId="0" applyFont="1" applyAlignment="1">
      <alignment horizontal="left" vertical="center"/>
    </xf>
    <xf numFmtId="0" fontId="11" fillId="4" borderId="2" xfId="0" applyFont="1" applyFill="1" applyBorder="1" applyAlignment="1">
      <alignment horizontal="left" vertical="center" wrapText="1" inden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4" fillId="13" borderId="12" xfId="0" applyFont="1" applyFill="1" applyBorder="1" applyAlignment="1">
      <alignment wrapText="1"/>
    </xf>
    <xf numFmtId="0" fontId="24" fillId="13" borderId="13" xfId="0" applyFont="1" applyFill="1" applyBorder="1" applyAlignment="1">
      <alignment wrapText="1"/>
    </xf>
    <xf numFmtId="0" fontId="24" fillId="13" borderId="14" xfId="0" applyFont="1" applyFill="1" applyBorder="1" applyAlignment="1">
      <alignment wrapText="1"/>
    </xf>
    <xf numFmtId="0" fontId="26" fillId="4" borderId="6" xfId="0" applyFont="1" applyFill="1" applyBorder="1" applyAlignment="1">
      <alignment horizontal="left" vertical="center" wrapText="1" indent="1"/>
    </xf>
    <xf numFmtId="0" fontId="26" fillId="4" borderId="6" xfId="0" applyFont="1" applyFill="1" applyBorder="1" applyAlignment="1">
      <alignment horizontal="left" vertical="center" indent="1"/>
    </xf>
    <xf numFmtId="0" fontId="27" fillId="0" borderId="6" xfId="0" applyFont="1" applyBorder="1" applyAlignment="1">
      <alignment horizontal="left" vertical="center" wrapText="1" indent="1"/>
    </xf>
    <xf numFmtId="0" fontId="28" fillId="0" borderId="6" xfId="0" applyFont="1" applyBorder="1" applyAlignment="1">
      <alignment horizontal="left" vertical="center" wrapText="1" indent="1"/>
    </xf>
    <xf numFmtId="164" fontId="28" fillId="0" borderId="6" xfId="0" applyNumberFormat="1" applyFont="1" applyBorder="1" applyAlignment="1">
      <alignment horizontal="left" vertical="center" indent="1"/>
    </xf>
    <xf numFmtId="0" fontId="28" fillId="3" borderId="6" xfId="0" applyFont="1" applyFill="1" applyBorder="1" applyAlignment="1">
      <alignment horizontal="left" vertical="center" wrapText="1" indent="1"/>
    </xf>
    <xf numFmtId="1" fontId="29" fillId="5" borderId="6" xfId="0" applyNumberFormat="1" applyFont="1" applyFill="1" applyBorder="1" applyAlignment="1">
      <alignment horizontal="center" vertical="center"/>
    </xf>
    <xf numFmtId="0" fontId="27" fillId="0" borderId="9" xfId="0" applyFont="1" applyBorder="1" applyAlignment="1">
      <alignment horizontal="left" vertical="center" wrapText="1" indent="1"/>
    </xf>
    <xf numFmtId="0" fontId="28" fillId="0" borderId="9" xfId="0" applyFont="1" applyBorder="1" applyAlignment="1">
      <alignment horizontal="left" vertical="center"/>
    </xf>
    <xf numFmtId="164" fontId="28" fillId="0" borderId="9" xfId="0" applyNumberFormat="1" applyFont="1" applyBorder="1" applyAlignment="1">
      <alignment horizontal="left" vertical="center" indent="1"/>
    </xf>
    <xf numFmtId="0" fontId="28" fillId="0" borderId="9" xfId="0" applyFont="1" applyBorder="1" applyAlignment="1">
      <alignment horizontal="left" vertical="center" wrapText="1" indent="1"/>
    </xf>
    <xf numFmtId="0" fontId="28" fillId="3" borderId="9" xfId="0" applyFont="1" applyFill="1" applyBorder="1" applyAlignment="1">
      <alignment horizontal="left" vertical="center" wrapText="1" indent="1"/>
    </xf>
    <xf numFmtId="1" fontId="29" fillId="5" borderId="9" xfId="0" applyNumberFormat="1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left" vertical="center" wrapText="1" indent="1" readingOrder="1"/>
    </xf>
    <xf numFmtId="0" fontId="27" fillId="3" borderId="6" xfId="0" applyFont="1" applyFill="1" applyBorder="1" applyAlignment="1">
      <alignment horizontal="left" vertical="center" wrapText="1" indent="1"/>
    </xf>
    <xf numFmtId="0" fontId="28" fillId="3" borderId="6" xfId="0" applyFont="1" applyFill="1" applyBorder="1" applyAlignment="1">
      <alignment horizontal="left" vertical="center"/>
    </xf>
    <xf numFmtId="164" fontId="28" fillId="3" borderId="6" xfId="0" applyNumberFormat="1" applyFont="1" applyFill="1" applyBorder="1" applyAlignment="1">
      <alignment horizontal="left" vertical="center" indent="1"/>
    </xf>
    <xf numFmtId="1" fontId="29" fillId="3" borderId="6" xfId="0" applyNumberFormat="1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left" vertical="center" wrapText="1" indent="1" readingOrder="1"/>
    </xf>
    <xf numFmtId="0" fontId="27" fillId="0" borderId="10" xfId="0" applyFont="1" applyBorder="1" applyAlignment="1">
      <alignment horizontal="left" vertical="center" wrapText="1" indent="1"/>
    </xf>
    <xf numFmtId="0" fontId="28" fillId="0" borderId="10" xfId="0" applyFont="1" applyBorder="1" applyAlignment="1">
      <alignment horizontal="left" vertical="center"/>
    </xf>
    <xf numFmtId="164" fontId="28" fillId="0" borderId="10" xfId="0" applyNumberFormat="1" applyFont="1" applyBorder="1" applyAlignment="1">
      <alignment horizontal="left" vertical="center" indent="1"/>
    </xf>
    <xf numFmtId="0" fontId="28" fillId="0" borderId="10" xfId="0" applyFont="1" applyBorder="1" applyAlignment="1">
      <alignment horizontal="left" vertical="center" wrapText="1" indent="1"/>
    </xf>
    <xf numFmtId="0" fontId="28" fillId="3" borderId="10" xfId="0" applyFont="1" applyFill="1" applyBorder="1" applyAlignment="1">
      <alignment horizontal="left" vertical="center" wrapText="1" indent="1"/>
    </xf>
    <xf numFmtId="1" fontId="29" fillId="5" borderId="10" xfId="0" applyNumberFormat="1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left" vertical="center" wrapText="1" indent="1" readingOrder="1"/>
    </xf>
    <xf numFmtId="0" fontId="28" fillId="0" borderId="6" xfId="0" applyFont="1" applyBorder="1" applyAlignment="1">
      <alignment vertical="center"/>
    </xf>
    <xf numFmtId="0" fontId="28" fillId="0" borderId="6" xfId="0" applyFont="1" applyBorder="1" applyAlignment="1">
      <alignment horizontal="left" vertical="center" wrapText="1"/>
    </xf>
    <xf numFmtId="164" fontId="28" fillId="0" borderId="6" xfId="0" applyNumberFormat="1" applyFont="1" applyBorder="1" applyAlignment="1">
      <alignment horizontal="left" vertical="center" wrapText="1" indent="1"/>
    </xf>
    <xf numFmtId="0" fontId="31" fillId="0" borderId="0" xfId="0" applyFont="1" applyAlignment="1">
      <alignment wrapText="1"/>
    </xf>
    <xf numFmtId="0" fontId="28" fillId="0" borderId="6" xfId="0" applyFont="1" applyBorder="1" applyAlignment="1">
      <alignment horizontal="left" vertical="center" indent="1"/>
    </xf>
    <xf numFmtId="0" fontId="28" fillId="0" borderId="6" xfId="0" applyFont="1" applyBorder="1"/>
    <xf numFmtId="0" fontId="28" fillId="2" borderId="6" xfId="0" applyFont="1" applyFill="1" applyBorder="1" applyAlignment="1">
      <alignment horizontal="left" vertical="center" wrapText="1" indent="1"/>
    </xf>
    <xf numFmtId="0" fontId="30" fillId="10" borderId="6" xfId="0" applyFont="1" applyFill="1" applyBorder="1" applyAlignment="1">
      <alignment horizontal="left" vertical="center" wrapText="1" indent="1" readingOrder="1"/>
    </xf>
    <xf numFmtId="0" fontId="32" fillId="6" borderId="6" xfId="0" applyFont="1" applyFill="1" applyBorder="1" applyAlignment="1">
      <alignment horizontal="right" vertical="center" wrapText="1" indent="1"/>
    </xf>
    <xf numFmtId="1" fontId="33" fillId="5" borderId="6" xfId="0" applyNumberFormat="1" applyFont="1" applyFill="1" applyBorder="1" applyAlignment="1">
      <alignment horizontal="center" vertical="center"/>
    </xf>
    <xf numFmtId="0" fontId="34" fillId="6" borderId="6" xfId="0" applyFont="1" applyFill="1" applyBorder="1" applyAlignment="1">
      <alignment horizontal="center"/>
    </xf>
  </cellXfs>
  <cellStyles count="10">
    <cellStyle name="Followed Hyperlink" xfId="8" builtinId="9" hidden="1"/>
    <cellStyle name="Followed Hyperlink" xfId="4" builtinId="9" hidden="1"/>
    <cellStyle name="Followed Hyperlink" xfId="6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1" builtinId="8" hidden="1"/>
    <cellStyle name="Hyperlink" xfId="3" builtinId="8" hidden="1"/>
    <cellStyle name="Normal" xfId="0" builtinId="0"/>
    <cellStyle name="Normal 2" xfId="9" xr:uid="{00000000-0005-0000-0000-000009000000}"/>
  </cellStyles>
  <dxfs count="32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</dxfs>
  <tableStyles count="0" defaultTableStyle="TableStyleMedium9" defaultPivotStyle="PivotStyleMedium7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55CE-A1B3-4462-93F9-7DF8769B412F}">
  <sheetPr>
    <tabColor rgb="FFF9FF81"/>
    <pageSetUpPr fitToPage="1"/>
  </sheetPr>
  <dimension ref="A1:R25"/>
  <sheetViews>
    <sheetView showGridLines="0" tabSelected="1" topLeftCell="A5" zoomScale="70" zoomScaleNormal="85" workbookViewId="0"/>
  </sheetViews>
  <sheetFormatPr defaultColWidth="10.69921875" defaultRowHeight="15" x14ac:dyDescent="0.25"/>
  <cols>
    <col min="1" max="1" width="3.19921875" style="2" customWidth="1"/>
    <col min="2" max="2" width="9.19921875" style="2" customWidth="1"/>
    <col min="3" max="3" width="29.19921875" style="2" customWidth="1"/>
    <col min="4" max="4" width="77.5" style="2" customWidth="1"/>
    <col min="5" max="5" width="44" style="1" customWidth="1"/>
    <col min="6" max="6" width="12" style="1" customWidth="1"/>
    <col min="7" max="7" width="11" style="1" bestFit="1" customWidth="1"/>
    <col min="8" max="8" width="23.19921875" style="1" customWidth="1"/>
    <col min="9" max="9" width="18.69921875" style="1" customWidth="1"/>
    <col min="10" max="10" width="3.19921875" style="1" customWidth="1"/>
    <col min="11" max="11" width="15.69921875" style="1" customWidth="1"/>
    <col min="12" max="12" width="3.19921875" style="1" customWidth="1"/>
    <col min="13" max="13" width="15.69921875" style="1" customWidth="1"/>
    <col min="14" max="16384" width="10.69921875" style="1"/>
  </cols>
  <sheetData>
    <row r="1" spans="1:18" s="5" customFormat="1" ht="45" customHeight="1" x14ac:dyDescent="0.25">
      <c r="A1" s="6"/>
      <c r="B1" s="43" t="s">
        <v>0</v>
      </c>
      <c r="C1" s="43"/>
      <c r="D1" s="43"/>
      <c r="E1" s="2"/>
      <c r="F1" s="2"/>
      <c r="G1" s="23"/>
      <c r="H1" s="22"/>
      <c r="I1" s="2"/>
      <c r="J1" s="1"/>
      <c r="K1" s="1"/>
      <c r="L1" s="1"/>
      <c r="M1" s="1"/>
      <c r="N1" s="1"/>
      <c r="O1" s="1"/>
      <c r="P1" s="1"/>
      <c r="Q1" s="1"/>
      <c r="R1" s="1"/>
    </row>
    <row r="2" spans="1:18" ht="29.25" customHeight="1" x14ac:dyDescent="0.25">
      <c r="B2" s="44" t="s">
        <v>0</v>
      </c>
      <c r="C2" s="44"/>
      <c r="D2" s="44"/>
      <c r="J2" s="4"/>
      <c r="K2" s="17" t="s">
        <v>1</v>
      </c>
      <c r="L2" s="4"/>
      <c r="M2" s="17" t="s">
        <v>2</v>
      </c>
      <c r="N2" s="4"/>
      <c r="O2" s="4"/>
    </row>
    <row r="3" spans="1:18" s="4" customFormat="1" ht="31.95" customHeight="1" x14ac:dyDescent="0.25">
      <c r="A3" s="3"/>
      <c r="B3" s="58" t="s">
        <v>3</v>
      </c>
      <c r="C3" s="58" t="s">
        <v>4</v>
      </c>
      <c r="D3" s="59" t="s">
        <v>5</v>
      </c>
      <c r="E3" s="59" t="s">
        <v>6</v>
      </c>
      <c r="F3" s="59" t="s">
        <v>56</v>
      </c>
      <c r="G3" s="59" t="s">
        <v>2</v>
      </c>
      <c r="H3" s="59" t="s">
        <v>7</v>
      </c>
      <c r="I3" s="59" t="s">
        <v>1</v>
      </c>
      <c r="J3" s="1"/>
      <c r="K3" s="12" t="s">
        <v>8</v>
      </c>
      <c r="L3" s="1"/>
      <c r="M3" s="14" t="s">
        <v>9</v>
      </c>
      <c r="N3" s="1"/>
      <c r="O3" s="1"/>
    </row>
    <row r="4" spans="1:18" ht="25.2" customHeight="1" x14ac:dyDescent="0.25">
      <c r="B4" s="60">
        <v>1</v>
      </c>
      <c r="C4" s="61" t="s">
        <v>59</v>
      </c>
      <c r="D4" s="62" t="s">
        <v>55</v>
      </c>
      <c r="E4" s="61" t="s">
        <v>12</v>
      </c>
      <c r="F4" s="61" t="s">
        <v>57</v>
      </c>
      <c r="G4" s="63" t="s">
        <v>9</v>
      </c>
      <c r="H4" s="64">
        <v>1</v>
      </c>
      <c r="I4" s="63" t="s">
        <v>13</v>
      </c>
      <c r="K4" s="13" t="s">
        <v>14</v>
      </c>
      <c r="M4" s="15" t="s">
        <v>15</v>
      </c>
    </row>
    <row r="5" spans="1:18" ht="25.2" customHeight="1" x14ac:dyDescent="0.25">
      <c r="B5" s="60">
        <v>2</v>
      </c>
      <c r="C5" s="61" t="s">
        <v>20</v>
      </c>
      <c r="D5" s="62" t="s">
        <v>21</v>
      </c>
      <c r="E5" s="61" t="s">
        <v>22</v>
      </c>
      <c r="F5" s="61" t="s">
        <v>57</v>
      </c>
      <c r="G5" s="63" t="s">
        <v>9</v>
      </c>
      <c r="H5" s="64">
        <v>1</v>
      </c>
      <c r="I5" s="63" t="s">
        <v>13</v>
      </c>
      <c r="K5" s="13" t="s">
        <v>13</v>
      </c>
      <c r="M5" s="16" t="s">
        <v>19</v>
      </c>
    </row>
    <row r="6" spans="1:18" ht="25.2" customHeight="1" x14ac:dyDescent="0.25">
      <c r="B6" s="65">
        <v>3</v>
      </c>
      <c r="C6" s="66" t="s">
        <v>24</v>
      </c>
      <c r="D6" s="67" t="s">
        <v>25</v>
      </c>
      <c r="E6" s="68" t="s">
        <v>26</v>
      </c>
      <c r="F6" s="68" t="s">
        <v>71</v>
      </c>
      <c r="G6" s="69" t="s">
        <v>9</v>
      </c>
      <c r="H6" s="70">
        <v>1</v>
      </c>
      <c r="I6" s="71" t="s">
        <v>13</v>
      </c>
      <c r="K6" s="27" t="s">
        <v>23</v>
      </c>
    </row>
    <row r="7" spans="1:18" s="30" customFormat="1" ht="25.2" customHeight="1" x14ac:dyDescent="0.25">
      <c r="A7" s="29"/>
      <c r="B7" s="72">
        <v>3.1</v>
      </c>
      <c r="C7" s="73" t="s">
        <v>24</v>
      </c>
      <c r="D7" s="74" t="s">
        <v>69</v>
      </c>
      <c r="E7" s="63" t="s">
        <v>70</v>
      </c>
      <c r="F7" s="63" t="s">
        <v>57</v>
      </c>
      <c r="G7" s="63" t="s">
        <v>9</v>
      </c>
      <c r="H7" s="75">
        <v>1</v>
      </c>
      <c r="I7" s="76" t="s">
        <v>13</v>
      </c>
      <c r="K7" s="24" t="s">
        <v>23</v>
      </c>
    </row>
    <row r="8" spans="1:18" ht="29.25" customHeight="1" x14ac:dyDescent="0.25">
      <c r="B8" s="77">
        <v>3.2</v>
      </c>
      <c r="C8" s="78" t="s">
        <v>24</v>
      </c>
      <c r="D8" s="79" t="s">
        <v>76</v>
      </c>
      <c r="E8" s="80" t="s">
        <v>68</v>
      </c>
      <c r="F8" s="80" t="s">
        <v>57</v>
      </c>
      <c r="G8" s="81" t="s">
        <v>9</v>
      </c>
      <c r="H8" s="82">
        <v>1</v>
      </c>
      <c r="I8" s="83" t="s">
        <v>13</v>
      </c>
      <c r="K8" s="28" t="s">
        <v>23</v>
      </c>
    </row>
    <row r="9" spans="1:18" ht="29.25" customHeight="1" x14ac:dyDescent="0.25">
      <c r="B9" s="77">
        <v>3.3</v>
      </c>
      <c r="C9" s="78" t="s">
        <v>20</v>
      </c>
      <c r="D9" s="79" t="s">
        <v>73</v>
      </c>
      <c r="E9" s="80" t="s">
        <v>74</v>
      </c>
      <c r="F9" s="80" t="s">
        <v>57</v>
      </c>
      <c r="G9" s="81" t="s">
        <v>9</v>
      </c>
      <c r="H9" s="82">
        <v>1</v>
      </c>
      <c r="I9" s="83" t="s">
        <v>13</v>
      </c>
      <c r="K9" s="28"/>
    </row>
    <row r="10" spans="1:18" ht="25.2" customHeight="1" x14ac:dyDescent="0.25">
      <c r="B10" s="60">
        <v>4</v>
      </c>
      <c r="C10" s="61" t="s">
        <v>16</v>
      </c>
      <c r="D10" s="62" t="s">
        <v>28</v>
      </c>
      <c r="E10" s="84" t="s">
        <v>29</v>
      </c>
      <c r="F10" s="84" t="s">
        <v>88</v>
      </c>
      <c r="G10" s="63" t="s">
        <v>9</v>
      </c>
      <c r="H10" s="64">
        <v>1</v>
      </c>
      <c r="I10" s="63" t="s">
        <v>13</v>
      </c>
      <c r="K10" s="7" t="s">
        <v>27</v>
      </c>
    </row>
    <row r="11" spans="1:18" ht="30.75" customHeight="1" x14ac:dyDescent="0.25">
      <c r="B11" s="60">
        <v>5</v>
      </c>
      <c r="C11" s="61" t="s">
        <v>16</v>
      </c>
      <c r="D11" s="62" t="s">
        <v>17</v>
      </c>
      <c r="E11" s="61" t="s">
        <v>18</v>
      </c>
      <c r="F11" s="61" t="s">
        <v>66</v>
      </c>
      <c r="G11" s="63" t="s">
        <v>9</v>
      </c>
      <c r="H11" s="64">
        <v>1</v>
      </c>
      <c r="I11" s="63" t="s">
        <v>13</v>
      </c>
    </row>
    <row r="12" spans="1:18" ht="39.75" customHeight="1" x14ac:dyDescent="0.25">
      <c r="B12" s="60">
        <v>6</v>
      </c>
      <c r="C12" s="61" t="s">
        <v>20</v>
      </c>
      <c r="D12" s="62" t="s">
        <v>75</v>
      </c>
      <c r="E12" s="85" t="s">
        <v>54</v>
      </c>
      <c r="F12" s="85" t="s">
        <v>77</v>
      </c>
      <c r="G12" s="63" t="s">
        <v>9</v>
      </c>
      <c r="H12" s="64">
        <v>2</v>
      </c>
      <c r="I12" s="76" t="s">
        <v>13</v>
      </c>
    </row>
    <row r="13" spans="1:18" ht="25.2" customHeight="1" x14ac:dyDescent="0.25">
      <c r="B13" s="60">
        <v>6.1</v>
      </c>
      <c r="C13" s="61" t="s">
        <v>78</v>
      </c>
      <c r="D13" s="62" t="s">
        <v>79</v>
      </c>
      <c r="E13" s="85" t="s">
        <v>81</v>
      </c>
      <c r="F13" s="85" t="s">
        <v>57</v>
      </c>
      <c r="G13" s="63" t="s">
        <v>9</v>
      </c>
      <c r="H13" s="64">
        <v>2</v>
      </c>
      <c r="I13" s="76" t="s">
        <v>13</v>
      </c>
    </row>
    <row r="14" spans="1:18" ht="42" customHeight="1" x14ac:dyDescent="0.25">
      <c r="B14" s="60">
        <v>6.2</v>
      </c>
      <c r="C14" s="61" t="s">
        <v>78</v>
      </c>
      <c r="D14" s="86" t="s">
        <v>100</v>
      </c>
      <c r="E14" s="85" t="s">
        <v>83</v>
      </c>
      <c r="F14" s="85" t="s">
        <v>57</v>
      </c>
      <c r="G14" s="63" t="s">
        <v>9</v>
      </c>
      <c r="H14" s="64">
        <v>2</v>
      </c>
      <c r="I14" s="76" t="s">
        <v>13</v>
      </c>
    </row>
    <row r="15" spans="1:18" ht="27" customHeight="1" x14ac:dyDescent="0.3">
      <c r="B15" s="60">
        <v>6.3</v>
      </c>
      <c r="C15" s="61" t="s">
        <v>80</v>
      </c>
      <c r="D15" s="87" t="s">
        <v>87</v>
      </c>
      <c r="E15" s="85" t="s">
        <v>82</v>
      </c>
      <c r="F15" s="85" t="s">
        <v>57</v>
      </c>
      <c r="G15" s="63" t="s">
        <v>9</v>
      </c>
      <c r="H15" s="64">
        <v>2</v>
      </c>
      <c r="I15" s="76" t="s">
        <v>13</v>
      </c>
    </row>
    <row r="16" spans="1:18" ht="25.2" customHeight="1" x14ac:dyDescent="0.25">
      <c r="B16" s="60">
        <v>7</v>
      </c>
      <c r="C16" s="61" t="s">
        <v>30</v>
      </c>
      <c r="D16" s="88" t="s">
        <v>31</v>
      </c>
      <c r="E16" s="86" t="s">
        <v>32</v>
      </c>
      <c r="F16" s="86" t="s">
        <v>58</v>
      </c>
      <c r="G16" s="63" t="s">
        <v>9</v>
      </c>
      <c r="H16" s="64">
        <v>2</v>
      </c>
      <c r="I16" s="76" t="s">
        <v>13</v>
      </c>
    </row>
    <row r="17" spans="2:9" ht="48" customHeight="1" x14ac:dyDescent="0.25">
      <c r="B17" s="60">
        <v>8</v>
      </c>
      <c r="C17" s="61" t="s">
        <v>84</v>
      </c>
      <c r="D17" s="61" t="s">
        <v>85</v>
      </c>
      <c r="E17" s="86" t="s">
        <v>86</v>
      </c>
      <c r="F17" s="86" t="s">
        <v>57</v>
      </c>
      <c r="G17" s="63" t="s">
        <v>15</v>
      </c>
      <c r="H17" s="64">
        <v>2</v>
      </c>
      <c r="I17" s="76" t="s">
        <v>13</v>
      </c>
    </row>
    <row r="18" spans="2:9" ht="25.2" customHeight="1" x14ac:dyDescent="0.25">
      <c r="B18" s="60">
        <v>9</v>
      </c>
      <c r="C18" s="61" t="s">
        <v>60</v>
      </c>
      <c r="D18" s="89" t="s">
        <v>37</v>
      </c>
      <c r="E18" s="61" t="s">
        <v>38</v>
      </c>
      <c r="F18" s="61" t="s">
        <v>57</v>
      </c>
      <c r="G18" s="63" t="s">
        <v>15</v>
      </c>
      <c r="H18" s="64">
        <v>2</v>
      </c>
      <c r="I18" s="63" t="s">
        <v>13</v>
      </c>
    </row>
    <row r="19" spans="2:9" ht="25.2" customHeight="1" x14ac:dyDescent="0.25">
      <c r="B19" s="60">
        <v>10</v>
      </c>
      <c r="C19" s="61" t="s">
        <v>16</v>
      </c>
      <c r="D19" s="62" t="s">
        <v>39</v>
      </c>
      <c r="E19" s="88" t="s">
        <v>40</v>
      </c>
      <c r="F19" s="88" t="s">
        <v>57</v>
      </c>
      <c r="G19" s="63" t="s">
        <v>15</v>
      </c>
      <c r="H19" s="64">
        <v>2</v>
      </c>
      <c r="I19" s="90" t="s">
        <v>13</v>
      </c>
    </row>
    <row r="20" spans="2:9" ht="25.2" customHeight="1" x14ac:dyDescent="0.25">
      <c r="B20" s="60">
        <v>11</v>
      </c>
      <c r="C20" s="61" t="s">
        <v>20</v>
      </c>
      <c r="D20" s="88" t="s">
        <v>67</v>
      </c>
      <c r="E20" s="86" t="s">
        <v>47</v>
      </c>
      <c r="F20" s="86" t="s">
        <v>57</v>
      </c>
      <c r="G20" s="63" t="s">
        <v>15</v>
      </c>
      <c r="H20" s="64">
        <v>2</v>
      </c>
      <c r="I20" s="90" t="s">
        <v>13</v>
      </c>
    </row>
    <row r="21" spans="2:9" ht="25.2" customHeight="1" x14ac:dyDescent="0.25">
      <c r="B21" s="60">
        <v>12</v>
      </c>
      <c r="C21" s="61" t="s">
        <v>20</v>
      </c>
      <c r="D21" s="62" t="s">
        <v>48</v>
      </c>
      <c r="E21" s="61" t="s">
        <v>49</v>
      </c>
      <c r="F21" s="61" t="s">
        <v>57</v>
      </c>
      <c r="G21" s="63" t="s">
        <v>15</v>
      </c>
      <c r="H21" s="64">
        <v>2</v>
      </c>
      <c r="I21" s="90" t="s">
        <v>13</v>
      </c>
    </row>
    <row r="22" spans="2:9" ht="25.2" customHeight="1" x14ac:dyDescent="0.25">
      <c r="B22" s="60">
        <v>13</v>
      </c>
      <c r="C22" s="61" t="s">
        <v>20</v>
      </c>
      <c r="D22" s="61" t="s">
        <v>65</v>
      </c>
      <c r="E22" s="86" t="s">
        <v>64</v>
      </c>
      <c r="F22" s="86" t="s">
        <v>57</v>
      </c>
      <c r="G22" s="91" t="s">
        <v>15</v>
      </c>
      <c r="H22" s="64">
        <v>2</v>
      </c>
      <c r="I22" s="90" t="s">
        <v>13</v>
      </c>
    </row>
    <row r="23" spans="2:9" ht="25.2" customHeight="1" x14ac:dyDescent="0.25">
      <c r="B23" s="60">
        <v>14</v>
      </c>
      <c r="C23" s="61" t="s">
        <v>20</v>
      </c>
      <c r="D23" s="61" t="s">
        <v>72</v>
      </c>
      <c r="E23" s="86" t="s">
        <v>51</v>
      </c>
      <c r="F23" s="86" t="s">
        <v>57</v>
      </c>
      <c r="G23" s="91" t="s">
        <v>19</v>
      </c>
      <c r="H23" s="64">
        <v>1</v>
      </c>
      <c r="I23" s="90" t="s">
        <v>13</v>
      </c>
    </row>
    <row r="24" spans="2:9" ht="25.2" customHeight="1" x14ac:dyDescent="0.25">
      <c r="B24" s="60">
        <v>15</v>
      </c>
      <c r="C24" s="61" t="s">
        <v>61</v>
      </c>
      <c r="D24" s="86" t="s">
        <v>62</v>
      </c>
      <c r="E24" s="86" t="s">
        <v>63</v>
      </c>
      <c r="F24" s="86" t="s">
        <v>57</v>
      </c>
      <c r="G24" s="91" t="s">
        <v>19</v>
      </c>
      <c r="H24" s="64">
        <v>2</v>
      </c>
      <c r="I24" s="63" t="s">
        <v>13</v>
      </c>
    </row>
    <row r="25" spans="2:9" ht="25.2" customHeight="1" x14ac:dyDescent="0.25">
      <c r="B25" s="92" t="s">
        <v>53</v>
      </c>
      <c r="C25" s="92"/>
      <c r="D25" s="92"/>
      <c r="E25" s="92"/>
      <c r="F25" s="92"/>
      <c r="G25" s="92"/>
      <c r="H25" s="93">
        <f>SUM(H4:H24)</f>
        <v>33</v>
      </c>
      <c r="I25" s="94"/>
    </row>
  </sheetData>
  <mergeCells count="3">
    <mergeCell ref="B1:D1"/>
    <mergeCell ref="B2:D2"/>
    <mergeCell ref="B25:G25"/>
  </mergeCells>
  <conditionalFormatting sqref="G4:G24">
    <cfRule type="containsText" dxfId="31" priority="31" operator="containsText" text="Low">
      <formula>NOT(ISERROR(SEARCH("Low",G4)))</formula>
    </cfRule>
    <cfRule type="containsText" dxfId="30" priority="32" operator="containsText" text="Medium">
      <formula>NOT(ISERROR(SEARCH("Medium",G4)))</formula>
    </cfRule>
    <cfRule type="containsText" dxfId="29" priority="33" operator="containsText" text="High">
      <formula>NOT(ISERROR(SEARCH("High",G4)))</formula>
    </cfRule>
  </conditionalFormatting>
  <conditionalFormatting sqref="I4:I24">
    <cfRule type="containsText" dxfId="28" priority="6" operator="containsText" text="Overdue">
      <formula>NOT(ISERROR(SEARCH("Overdue",I4)))</formula>
    </cfRule>
    <cfRule type="containsText" dxfId="27" priority="7" operator="containsText" text="On Hold">
      <formula>NOT(ISERROR(SEARCH("On Hold",I4)))</formula>
    </cfRule>
    <cfRule type="containsText" dxfId="26" priority="8" operator="containsText" text="Complete">
      <formula>NOT(ISERROR(SEARCH("Complete",I4)))</formula>
    </cfRule>
    <cfRule type="containsText" dxfId="25" priority="9" operator="containsText" text="In Progress">
      <formula>NOT(ISERROR(SEARCH("In Progress",I4)))</formula>
    </cfRule>
    <cfRule type="containsText" dxfId="24" priority="10" operator="containsText" text="Not Started">
      <formula>NOT(ISERROR(SEARCH("Not Started",I4)))</formula>
    </cfRule>
  </conditionalFormatting>
  <conditionalFormatting sqref="K3:K10">
    <cfRule type="containsText" dxfId="23" priority="219" operator="containsText" text="Overdue">
      <formula>NOT(ISERROR(SEARCH("Overdue",K3)))</formula>
    </cfRule>
    <cfRule type="containsText" dxfId="22" priority="220" operator="containsText" text="On Hold">
      <formula>NOT(ISERROR(SEARCH("On Hold",K3)))</formula>
    </cfRule>
    <cfRule type="containsText" dxfId="21" priority="221" operator="containsText" text="Complete">
      <formula>NOT(ISERROR(SEARCH("Complete",K3)))</formula>
    </cfRule>
    <cfRule type="containsText" dxfId="20" priority="222" operator="containsText" text="In Progress">
      <formula>NOT(ISERROR(SEARCH("In Progress",K3)))</formula>
    </cfRule>
    <cfRule type="containsText" dxfId="19" priority="223" operator="containsText" text="Not Started">
      <formula>NOT(ISERROR(SEARCH("Not Started",K3)))</formula>
    </cfRule>
  </conditionalFormatting>
  <conditionalFormatting sqref="M3:M5">
    <cfRule type="containsText" dxfId="18" priority="216" operator="containsText" text="Low">
      <formula>NOT(ISERROR(SEARCH("Low",M3)))</formula>
    </cfRule>
    <cfRule type="containsText" dxfId="17" priority="217" operator="containsText" text="Medium">
      <formula>NOT(ISERROR(SEARCH("Medium",M3)))</formula>
    </cfRule>
    <cfRule type="containsText" dxfId="16" priority="218" operator="containsText" text="High">
      <formula>NOT(ISERROR(SEARCH("High",M3)))</formula>
    </cfRule>
  </conditionalFormatting>
  <dataValidations count="2">
    <dataValidation type="list" allowBlank="1" showInputMessage="1" showErrorMessage="1" sqref="I10:I11 I18 I4:I5 I24" xr:uid="{27263ABE-4B1D-4BFC-B079-C0425B7FF5F8}">
      <formula1>$K$3:$K$10</formula1>
    </dataValidation>
    <dataValidation type="list" allowBlank="1" showInputMessage="1" showErrorMessage="1" sqref="G4:G21" xr:uid="{C9161828-3D0A-4354-8FF9-0588FF283786}">
      <formula1>$M$3:$M$5</formula1>
    </dataValidation>
  </dataValidations>
  <pageMargins left="0.3" right="0.3" top="0.3" bottom="0.3" header="0" footer="0"/>
  <pageSetup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0DAC-4221-D94A-9294-06363A394F00}">
  <sheetPr>
    <tabColor rgb="FFB482DA"/>
  </sheetPr>
  <dimension ref="A1:N19"/>
  <sheetViews>
    <sheetView workbookViewId="0">
      <selection sqref="A1:D1"/>
    </sheetView>
  </sheetViews>
  <sheetFormatPr defaultRowHeight="15.6" x14ac:dyDescent="0.3"/>
  <cols>
    <col min="4" max="4" width="36.69921875" customWidth="1"/>
    <col min="5" max="5" width="42.59765625" customWidth="1"/>
    <col min="6" max="6" width="16.296875" customWidth="1"/>
    <col min="7" max="7" width="20.59765625" bestFit="1" customWidth="1"/>
    <col min="8" max="8" width="28.796875" customWidth="1"/>
    <col min="10" max="10" width="15.5" customWidth="1"/>
    <col min="12" max="12" width="13.19921875" customWidth="1"/>
  </cols>
  <sheetData>
    <row r="1" spans="1:14" ht="27.6" x14ac:dyDescent="0.3">
      <c r="A1" s="51" t="s">
        <v>0</v>
      </c>
      <c r="B1" s="51"/>
      <c r="C1" s="51"/>
      <c r="D1" s="51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7.399999999999999" x14ac:dyDescent="0.3">
      <c r="A2" s="44" t="s">
        <v>0</v>
      </c>
      <c r="B2" s="44"/>
      <c r="C2" s="44"/>
      <c r="D2" s="44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0" t="s">
        <v>3</v>
      </c>
      <c r="B3" s="52" t="s">
        <v>4</v>
      </c>
      <c r="C3" s="52"/>
      <c r="D3" s="11" t="s">
        <v>5</v>
      </c>
      <c r="E3" s="11" t="s">
        <v>6</v>
      </c>
      <c r="F3" s="11" t="s">
        <v>2</v>
      </c>
      <c r="G3" s="11" t="s">
        <v>7</v>
      </c>
      <c r="H3" s="11" t="s">
        <v>1</v>
      </c>
      <c r="I3" s="4"/>
      <c r="J3" s="31" t="s">
        <v>1</v>
      </c>
      <c r="K3" s="4"/>
      <c r="L3" s="31" t="s">
        <v>2</v>
      </c>
      <c r="M3" s="4"/>
      <c r="N3" s="4"/>
    </row>
    <row r="4" spans="1:14" ht="21.6" customHeight="1" x14ac:dyDescent="0.3">
      <c r="A4" s="19">
        <v>1</v>
      </c>
      <c r="B4" s="45" t="s">
        <v>10</v>
      </c>
      <c r="C4" s="45"/>
      <c r="D4" s="8" t="s">
        <v>11</v>
      </c>
      <c r="E4" s="21" t="s">
        <v>12</v>
      </c>
      <c r="F4" s="18" t="s">
        <v>9</v>
      </c>
      <c r="G4" s="25">
        <v>1</v>
      </c>
      <c r="H4" s="18" t="s">
        <v>13</v>
      </c>
      <c r="I4" s="1"/>
      <c r="J4" s="12" t="s">
        <v>8</v>
      </c>
      <c r="K4" s="1"/>
      <c r="L4" s="14" t="s">
        <v>9</v>
      </c>
      <c r="M4" s="1"/>
      <c r="N4" s="1"/>
    </row>
    <row r="5" spans="1:14" ht="26.4" customHeight="1" x14ac:dyDescent="0.3">
      <c r="A5" s="19">
        <v>2</v>
      </c>
      <c r="B5" s="45" t="s">
        <v>16</v>
      </c>
      <c r="C5" s="45"/>
      <c r="D5" s="8" t="s">
        <v>17</v>
      </c>
      <c r="E5" s="21" t="s">
        <v>18</v>
      </c>
      <c r="F5" s="18" t="s">
        <v>9</v>
      </c>
      <c r="G5" s="25">
        <v>1</v>
      </c>
      <c r="H5" s="18" t="s">
        <v>13</v>
      </c>
      <c r="I5" s="1"/>
      <c r="J5" s="13" t="s">
        <v>14</v>
      </c>
      <c r="K5" s="1"/>
      <c r="L5" s="15" t="s">
        <v>15</v>
      </c>
      <c r="M5" s="1"/>
      <c r="N5" s="1"/>
    </row>
    <row r="6" spans="1:14" ht="14.4" customHeight="1" x14ac:dyDescent="0.3">
      <c r="A6" s="19">
        <v>3</v>
      </c>
      <c r="B6" s="45" t="s">
        <v>16</v>
      </c>
      <c r="C6" s="45"/>
      <c r="D6" s="8" t="s">
        <v>28</v>
      </c>
      <c r="E6" s="9" t="s">
        <v>29</v>
      </c>
      <c r="F6" s="18" t="s">
        <v>9</v>
      </c>
      <c r="G6" s="25">
        <v>1</v>
      </c>
      <c r="H6" s="18" t="s">
        <v>14</v>
      </c>
      <c r="I6" s="1"/>
      <c r="J6" s="13" t="s">
        <v>13</v>
      </c>
      <c r="K6" s="1"/>
      <c r="L6" s="16" t="s">
        <v>19</v>
      </c>
      <c r="M6" s="1"/>
      <c r="N6" s="1"/>
    </row>
    <row r="7" spans="1:14" ht="16.2" customHeight="1" x14ac:dyDescent="0.3">
      <c r="A7" s="19">
        <v>4</v>
      </c>
      <c r="B7" s="45" t="s">
        <v>16</v>
      </c>
      <c r="C7" s="45"/>
      <c r="D7" s="8" t="s">
        <v>39</v>
      </c>
      <c r="E7" s="9" t="s">
        <v>40</v>
      </c>
      <c r="F7" s="18" t="s">
        <v>15</v>
      </c>
      <c r="G7" s="25">
        <v>1</v>
      </c>
      <c r="H7" s="18" t="s">
        <v>14</v>
      </c>
      <c r="I7" s="1"/>
      <c r="J7" s="7" t="s">
        <v>23</v>
      </c>
      <c r="K7" s="1"/>
      <c r="L7" s="1"/>
      <c r="M7" s="1"/>
      <c r="N7" s="1"/>
    </row>
    <row r="8" spans="1:14" ht="25.8" customHeight="1" x14ac:dyDescent="0.3">
      <c r="A8" s="19">
        <v>5</v>
      </c>
      <c r="B8" s="45" t="s">
        <v>20</v>
      </c>
      <c r="C8" s="45"/>
      <c r="D8" s="8" t="s">
        <v>21</v>
      </c>
      <c r="E8" s="21" t="s">
        <v>22</v>
      </c>
      <c r="F8" s="18" t="s">
        <v>9</v>
      </c>
      <c r="G8" s="25">
        <v>1</v>
      </c>
      <c r="H8" s="18" t="s">
        <v>13</v>
      </c>
      <c r="I8" s="1"/>
      <c r="J8" s="7" t="s">
        <v>27</v>
      </c>
      <c r="K8" s="1"/>
      <c r="L8" s="1"/>
      <c r="M8" s="1"/>
      <c r="N8" s="1"/>
    </row>
    <row r="9" spans="1:14" ht="37.200000000000003" customHeight="1" x14ac:dyDescent="0.3">
      <c r="A9" s="19">
        <v>6</v>
      </c>
      <c r="B9" s="45" t="s">
        <v>20</v>
      </c>
      <c r="C9" s="45"/>
      <c r="D9" s="8" t="s">
        <v>48</v>
      </c>
      <c r="E9" s="21" t="s">
        <v>49</v>
      </c>
      <c r="F9" s="18" t="s">
        <v>15</v>
      </c>
      <c r="G9" s="25">
        <v>2</v>
      </c>
      <c r="H9" s="18" t="s">
        <v>14</v>
      </c>
      <c r="I9" s="1"/>
      <c r="J9" s="1"/>
      <c r="K9" s="1"/>
      <c r="L9" s="1"/>
      <c r="M9" s="1"/>
      <c r="N9" s="1"/>
    </row>
    <row r="10" spans="1:14" ht="23.4" customHeight="1" x14ac:dyDescent="0.3">
      <c r="A10" s="19">
        <v>7</v>
      </c>
      <c r="B10" s="22" t="s">
        <v>24</v>
      </c>
      <c r="C10" s="2"/>
      <c r="D10" s="8" t="s">
        <v>89</v>
      </c>
      <c r="E10" s="21" t="s">
        <v>26</v>
      </c>
      <c r="F10" s="18" t="s">
        <v>9</v>
      </c>
      <c r="G10" s="25">
        <v>2</v>
      </c>
      <c r="H10" s="18" t="s">
        <v>14</v>
      </c>
      <c r="I10" s="1"/>
      <c r="J10" s="1"/>
      <c r="K10" s="1"/>
      <c r="L10" s="1"/>
      <c r="M10" s="1"/>
      <c r="N10" s="1"/>
    </row>
    <row r="11" spans="1:14" ht="35.4" customHeight="1" x14ac:dyDescent="0.3">
      <c r="A11" s="19">
        <v>8</v>
      </c>
      <c r="B11" s="49" t="s">
        <v>90</v>
      </c>
      <c r="C11" s="50"/>
      <c r="D11" s="2" t="s">
        <v>91</v>
      </c>
      <c r="E11" s="21" t="s">
        <v>92</v>
      </c>
      <c r="F11" s="18" t="s">
        <v>19</v>
      </c>
      <c r="G11" s="25">
        <v>1</v>
      </c>
      <c r="H11" s="18" t="s">
        <v>14</v>
      </c>
      <c r="I11" s="1"/>
      <c r="J11" s="1"/>
      <c r="K11" s="1"/>
      <c r="L11" s="1"/>
      <c r="M11" s="1"/>
      <c r="N11" s="1"/>
    </row>
    <row r="12" spans="1:14" x14ac:dyDescent="0.3">
      <c r="A12" s="19">
        <v>9</v>
      </c>
      <c r="B12" s="45" t="s">
        <v>33</v>
      </c>
      <c r="C12" s="45"/>
      <c r="D12" s="8" t="s">
        <v>34</v>
      </c>
      <c r="E12" s="9" t="s">
        <v>35</v>
      </c>
      <c r="F12" s="18" t="s">
        <v>9</v>
      </c>
      <c r="G12" s="25">
        <v>1</v>
      </c>
      <c r="H12" s="18" t="s">
        <v>8</v>
      </c>
      <c r="I12" s="1"/>
      <c r="J12" s="1"/>
      <c r="K12" s="1"/>
      <c r="L12" s="1"/>
      <c r="M12" s="1"/>
      <c r="N12" s="1"/>
    </row>
    <row r="13" spans="1:14" x14ac:dyDescent="0.3">
      <c r="A13" s="19">
        <v>10</v>
      </c>
      <c r="B13" s="45" t="s">
        <v>41</v>
      </c>
      <c r="C13" s="45"/>
      <c r="D13" s="8" t="s">
        <v>43</v>
      </c>
      <c r="E13" s="9" t="s">
        <v>42</v>
      </c>
      <c r="F13" s="18" t="s">
        <v>15</v>
      </c>
      <c r="G13" s="25">
        <v>1</v>
      </c>
      <c r="H13" s="18" t="s">
        <v>14</v>
      </c>
      <c r="I13" s="1"/>
      <c r="J13" s="1"/>
      <c r="K13" s="1"/>
      <c r="L13" s="1"/>
      <c r="M13" s="1"/>
      <c r="N13" s="1"/>
    </row>
    <row r="14" spans="1:14" x14ac:dyDescent="0.3">
      <c r="A14" s="19">
        <v>11</v>
      </c>
      <c r="B14" s="45" t="s">
        <v>10</v>
      </c>
      <c r="C14" s="45"/>
      <c r="D14" s="8" t="s">
        <v>45</v>
      </c>
      <c r="E14" s="9" t="s">
        <v>44</v>
      </c>
      <c r="F14" s="18" t="s">
        <v>9</v>
      </c>
      <c r="G14" s="25">
        <v>2</v>
      </c>
      <c r="H14" s="18" t="s">
        <v>8</v>
      </c>
      <c r="I14" s="1"/>
      <c r="J14" s="1"/>
      <c r="K14" s="1"/>
      <c r="L14" s="1"/>
      <c r="M14" s="1"/>
      <c r="N14" s="1"/>
    </row>
    <row r="15" spans="1:14" x14ac:dyDescent="0.3">
      <c r="A15" s="19">
        <v>12</v>
      </c>
      <c r="B15" s="45" t="s">
        <v>20</v>
      </c>
      <c r="C15" s="45"/>
      <c r="D15" s="8" t="s">
        <v>47</v>
      </c>
      <c r="E15" s="9" t="s">
        <v>46</v>
      </c>
      <c r="F15" s="18" t="s">
        <v>15</v>
      </c>
      <c r="G15" s="25">
        <v>2</v>
      </c>
      <c r="H15" s="18" t="s">
        <v>27</v>
      </c>
      <c r="I15" s="1"/>
      <c r="J15" s="1"/>
      <c r="K15" s="1"/>
      <c r="L15" s="1"/>
      <c r="M15" s="1"/>
      <c r="N15" s="1"/>
    </row>
    <row r="16" spans="1:14" x14ac:dyDescent="0.3">
      <c r="A16" s="19">
        <v>13</v>
      </c>
      <c r="B16" s="45" t="s">
        <v>30</v>
      </c>
      <c r="C16" s="45"/>
      <c r="D16" s="8" t="s">
        <v>32</v>
      </c>
      <c r="E16" s="9" t="s">
        <v>31</v>
      </c>
      <c r="F16" s="18" t="s">
        <v>9</v>
      </c>
      <c r="G16" s="25">
        <v>2</v>
      </c>
      <c r="H16" s="18" t="s">
        <v>13</v>
      </c>
      <c r="I16" s="1"/>
      <c r="J16" s="1"/>
      <c r="K16" s="1"/>
      <c r="L16" s="1"/>
      <c r="M16" s="1"/>
      <c r="N16" s="1"/>
    </row>
    <row r="17" spans="1:14" x14ac:dyDescent="0.3">
      <c r="A17" s="19">
        <v>14</v>
      </c>
      <c r="B17" s="45" t="s">
        <v>20</v>
      </c>
      <c r="C17" s="45"/>
      <c r="D17" s="8" t="s">
        <v>51</v>
      </c>
      <c r="E17" s="9" t="s">
        <v>50</v>
      </c>
      <c r="F17" s="18" t="s">
        <v>15</v>
      </c>
      <c r="G17" s="25">
        <v>1</v>
      </c>
      <c r="H17" s="18" t="s">
        <v>23</v>
      </c>
      <c r="I17" s="1"/>
      <c r="J17" s="1"/>
      <c r="K17" s="1"/>
      <c r="L17" s="1"/>
      <c r="M17" s="1"/>
      <c r="N17" s="1"/>
    </row>
    <row r="18" spans="1:14" x14ac:dyDescent="0.3">
      <c r="A18" s="46" t="s">
        <v>53</v>
      </c>
      <c r="B18" s="47"/>
      <c r="C18" s="47"/>
      <c r="D18" s="47"/>
      <c r="E18" s="47"/>
      <c r="F18" s="48"/>
      <c r="G18" s="26">
        <f>SUM(G4:G17)</f>
        <v>19</v>
      </c>
      <c r="H18" s="20"/>
      <c r="I18" s="1"/>
      <c r="J18" s="1"/>
      <c r="K18" s="1"/>
      <c r="L18" s="1"/>
      <c r="M18" s="1"/>
      <c r="N18" s="1"/>
    </row>
    <row r="19" spans="1:14" x14ac:dyDescent="0.3">
      <c r="A19" s="32"/>
      <c r="B19" s="32"/>
      <c r="C19" s="32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</row>
  </sheetData>
  <mergeCells count="17">
    <mergeCell ref="B13:C13"/>
    <mergeCell ref="A1:D1"/>
    <mergeCell ref="A2:D2"/>
    <mergeCell ref="B3:C3"/>
    <mergeCell ref="B4:C4"/>
    <mergeCell ref="B5:C5"/>
    <mergeCell ref="B6:C6"/>
    <mergeCell ref="B7:C7"/>
    <mergeCell ref="B8:C8"/>
    <mergeCell ref="B9:C9"/>
    <mergeCell ref="B11:C11"/>
    <mergeCell ref="B12:C12"/>
    <mergeCell ref="B14:C14"/>
    <mergeCell ref="B15:C15"/>
    <mergeCell ref="B16:C16"/>
    <mergeCell ref="B17:C17"/>
    <mergeCell ref="A18:F18"/>
  </mergeCells>
  <conditionalFormatting sqref="F4:F17">
    <cfRule type="containsText" dxfId="15" priority="6" operator="containsText" text="Low">
      <formula>NOT(ISERROR(SEARCH("Low",F4)))</formula>
    </cfRule>
    <cfRule type="containsText" dxfId="14" priority="7" operator="containsText" text="Medium">
      <formula>NOT(ISERROR(SEARCH("Medium",F4)))</formula>
    </cfRule>
    <cfRule type="containsText" dxfId="13" priority="8" operator="containsText" text="High">
      <formula>NOT(ISERROR(SEARCH("High",F4)))</formula>
    </cfRule>
  </conditionalFormatting>
  <conditionalFormatting sqref="H4:H17">
    <cfRule type="containsText" dxfId="12" priority="1" operator="containsText" text="Overdue">
      <formula>NOT(ISERROR(SEARCH("Overdue",H4)))</formula>
    </cfRule>
    <cfRule type="containsText" dxfId="11" priority="2" operator="containsText" text="On Hold">
      <formula>NOT(ISERROR(SEARCH("On Hold",H4)))</formula>
    </cfRule>
    <cfRule type="containsText" dxfId="10" priority="3" operator="containsText" text="Complete">
      <formula>NOT(ISERROR(SEARCH("Complete",H4)))</formula>
    </cfRule>
    <cfRule type="containsText" dxfId="9" priority="4" operator="containsText" text="In Progress">
      <formula>NOT(ISERROR(SEARCH("In Progress",H4)))</formula>
    </cfRule>
    <cfRule type="containsText" dxfId="8" priority="5" operator="containsText" text="Not Started">
      <formula>NOT(ISERROR(SEARCH("Not Started",H4)))</formula>
    </cfRule>
  </conditionalFormatting>
  <conditionalFormatting sqref="J4:J8">
    <cfRule type="containsText" dxfId="7" priority="12" operator="containsText" text="Overdue">
      <formula>NOT(ISERROR(SEARCH("Overdue",J4)))</formula>
    </cfRule>
    <cfRule type="containsText" dxfId="6" priority="13" operator="containsText" text="On Hold">
      <formula>NOT(ISERROR(SEARCH("On Hold",J4)))</formula>
    </cfRule>
    <cfRule type="containsText" dxfId="5" priority="14" operator="containsText" text="Complete">
      <formula>NOT(ISERROR(SEARCH("Complete",J4)))</formula>
    </cfRule>
    <cfRule type="containsText" dxfId="4" priority="15" operator="containsText" text="In Progress">
      <formula>NOT(ISERROR(SEARCH("In Progress",J4)))</formula>
    </cfRule>
    <cfRule type="containsText" dxfId="3" priority="16" operator="containsText" text="Not Started">
      <formula>NOT(ISERROR(SEARCH("Not Started",J4)))</formula>
    </cfRule>
  </conditionalFormatting>
  <conditionalFormatting sqref="L4:L6">
    <cfRule type="containsText" dxfId="2" priority="9" operator="containsText" text="Low">
      <formula>NOT(ISERROR(SEARCH("Low",L4)))</formula>
    </cfRule>
    <cfRule type="containsText" dxfId="1" priority="10" operator="containsText" text="Medium">
      <formula>NOT(ISERROR(SEARCH("Medium",L4)))</formula>
    </cfRule>
    <cfRule type="containsText" dxfId="0" priority="11" operator="containsText" text="High">
      <formula>NOT(ISERROR(SEARCH("High",L4)))</formula>
    </cfRule>
  </conditionalFormatting>
  <dataValidations count="2">
    <dataValidation type="list" allowBlank="1" showInputMessage="1" showErrorMessage="1" sqref="F4:F17" xr:uid="{35B3842C-73CC-41BE-8CC2-D09D8AB2D835}">
      <formula1>$M$4:$M$6</formula1>
    </dataValidation>
    <dataValidation type="list" allowBlank="1" showInputMessage="1" showErrorMessage="1" sqref="H4:H17" xr:uid="{D1659D20-B095-470F-B27C-D9CC43A0B863}">
      <formula1>$K$4:$K$8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C0E9-FDBD-4C81-BDBC-0CDE2925B12D}">
  <sheetPr>
    <tabColor theme="5" tint="0.39997558519241921"/>
  </sheetPr>
  <dimension ref="B2:H21"/>
  <sheetViews>
    <sheetView workbookViewId="0"/>
  </sheetViews>
  <sheetFormatPr defaultRowHeight="15.6" x14ac:dyDescent="0.3"/>
  <cols>
    <col min="3" max="3" width="11.69921875" bestFit="1" customWidth="1"/>
    <col min="4" max="4" width="35.5" bestFit="1" customWidth="1"/>
    <col min="5" max="5" width="40.8984375" customWidth="1"/>
    <col min="6" max="6" width="11.296875" customWidth="1"/>
    <col min="7" max="7" width="8.59765625" customWidth="1"/>
    <col min="8" max="8" width="12.69921875" customWidth="1"/>
  </cols>
  <sheetData>
    <row r="2" spans="2:8" ht="25.8" x14ac:dyDescent="0.5">
      <c r="B2" s="53" t="s">
        <v>0</v>
      </c>
      <c r="C2" s="53"/>
      <c r="D2" s="53"/>
      <c r="E2" s="53"/>
      <c r="F2" s="53"/>
      <c r="G2" s="53"/>
      <c r="H2" s="53"/>
    </row>
    <row r="3" spans="2:8" x14ac:dyDescent="0.3">
      <c r="B3" s="54" t="s">
        <v>0</v>
      </c>
      <c r="C3" s="54"/>
      <c r="D3" s="54"/>
      <c r="E3" s="54"/>
      <c r="F3" s="54"/>
      <c r="G3" s="54"/>
      <c r="H3" s="54"/>
    </row>
    <row r="4" spans="2:8" ht="43.2" x14ac:dyDescent="0.3">
      <c r="B4" s="38" t="s">
        <v>3</v>
      </c>
      <c r="C4" s="38" t="s">
        <v>93</v>
      </c>
      <c r="D4" s="38" t="s">
        <v>94</v>
      </c>
      <c r="E4" s="38" t="s">
        <v>95</v>
      </c>
      <c r="F4" s="38" t="s">
        <v>2</v>
      </c>
      <c r="G4" s="38" t="s">
        <v>7</v>
      </c>
      <c r="H4" s="38" t="s">
        <v>1</v>
      </c>
    </row>
    <row r="5" spans="2:8" x14ac:dyDescent="0.3">
      <c r="B5" s="34">
        <v>1</v>
      </c>
      <c r="C5" s="34" t="s">
        <v>10</v>
      </c>
      <c r="D5" s="34" t="s">
        <v>11</v>
      </c>
      <c r="E5" s="34" t="s">
        <v>12</v>
      </c>
      <c r="F5" s="41" t="s">
        <v>9</v>
      </c>
      <c r="G5" s="34">
        <v>1</v>
      </c>
      <c r="H5" s="39" t="s">
        <v>13</v>
      </c>
    </row>
    <row r="6" spans="2:8" ht="28.8" x14ac:dyDescent="0.3">
      <c r="B6" s="34">
        <v>2</v>
      </c>
      <c r="C6" s="34" t="s">
        <v>20</v>
      </c>
      <c r="D6" s="34" t="s">
        <v>21</v>
      </c>
      <c r="E6" s="34" t="s">
        <v>22</v>
      </c>
      <c r="F6" s="41" t="s">
        <v>9</v>
      </c>
      <c r="G6" s="34">
        <v>1</v>
      </c>
      <c r="H6" s="39" t="s">
        <v>13</v>
      </c>
    </row>
    <row r="7" spans="2:8" ht="28.8" x14ac:dyDescent="0.3">
      <c r="B7" s="34">
        <v>3</v>
      </c>
      <c r="C7" s="34" t="s">
        <v>20</v>
      </c>
      <c r="D7" s="34" t="s">
        <v>96</v>
      </c>
      <c r="E7" s="34" t="s">
        <v>26</v>
      </c>
      <c r="F7" s="41" t="s">
        <v>9</v>
      </c>
      <c r="G7" s="34">
        <v>1</v>
      </c>
      <c r="H7" s="39" t="s">
        <v>13</v>
      </c>
    </row>
    <row r="8" spans="2:8" x14ac:dyDescent="0.3">
      <c r="B8" s="34">
        <v>4</v>
      </c>
      <c r="C8" s="34" t="s">
        <v>16</v>
      </c>
      <c r="D8" s="34" t="s">
        <v>28</v>
      </c>
      <c r="E8" s="34" t="s">
        <v>29</v>
      </c>
      <c r="F8" s="41" t="s">
        <v>9</v>
      </c>
      <c r="G8" s="34">
        <v>1</v>
      </c>
      <c r="H8" s="40" t="s">
        <v>14</v>
      </c>
    </row>
    <row r="9" spans="2:8" ht="28.8" x14ac:dyDescent="0.3">
      <c r="B9" s="34">
        <v>5</v>
      </c>
      <c r="C9" s="34" t="s">
        <v>16</v>
      </c>
      <c r="D9" s="34" t="s">
        <v>97</v>
      </c>
      <c r="E9" s="34" t="s">
        <v>18</v>
      </c>
      <c r="F9" s="41" t="s">
        <v>9</v>
      </c>
      <c r="G9" s="34">
        <v>1</v>
      </c>
      <c r="H9" s="40" t="s">
        <v>14</v>
      </c>
    </row>
    <row r="10" spans="2:8" ht="28.8" x14ac:dyDescent="0.3">
      <c r="B10" s="34">
        <v>6</v>
      </c>
      <c r="C10" s="34" t="s">
        <v>20</v>
      </c>
      <c r="D10" s="34" t="s">
        <v>98</v>
      </c>
      <c r="E10" s="34" t="s">
        <v>54</v>
      </c>
      <c r="F10" s="41" t="s">
        <v>9</v>
      </c>
      <c r="G10" s="34">
        <v>1</v>
      </c>
      <c r="H10" s="42" t="s">
        <v>8</v>
      </c>
    </row>
    <row r="11" spans="2:8" ht="28.8" x14ac:dyDescent="0.3">
      <c r="B11" s="34">
        <v>7</v>
      </c>
      <c r="C11" s="34" t="s">
        <v>30</v>
      </c>
      <c r="D11" s="34" t="s">
        <v>31</v>
      </c>
      <c r="E11" s="34" t="s">
        <v>32</v>
      </c>
      <c r="F11" s="41" t="s">
        <v>9</v>
      </c>
      <c r="G11" s="34">
        <v>2</v>
      </c>
      <c r="H11" s="42" t="s">
        <v>8</v>
      </c>
    </row>
    <row r="12" spans="2:8" x14ac:dyDescent="0.3">
      <c r="B12" s="34">
        <v>8</v>
      </c>
      <c r="C12" s="34" t="s">
        <v>33</v>
      </c>
      <c r="D12" s="34" t="s">
        <v>34</v>
      </c>
      <c r="E12" s="34" t="s">
        <v>35</v>
      </c>
      <c r="F12" s="41" t="s">
        <v>9</v>
      </c>
      <c r="G12" s="34">
        <v>1</v>
      </c>
      <c r="H12" s="42" t="s">
        <v>8</v>
      </c>
    </row>
    <row r="13" spans="2:8" x14ac:dyDescent="0.3">
      <c r="B13" s="34">
        <v>9</v>
      </c>
      <c r="C13" s="34" t="s">
        <v>36</v>
      </c>
      <c r="D13" s="34" t="s">
        <v>37</v>
      </c>
      <c r="E13" s="34" t="s">
        <v>38</v>
      </c>
      <c r="F13" s="35" t="s">
        <v>15</v>
      </c>
      <c r="G13" s="34">
        <v>2</v>
      </c>
      <c r="H13" s="42" t="s">
        <v>8</v>
      </c>
    </row>
    <row r="14" spans="2:8" x14ac:dyDescent="0.3">
      <c r="B14" s="34">
        <v>10</v>
      </c>
      <c r="C14" s="34" t="s">
        <v>16</v>
      </c>
      <c r="D14" s="34" t="s">
        <v>39</v>
      </c>
      <c r="E14" s="34" t="s">
        <v>40</v>
      </c>
      <c r="F14" s="35" t="s">
        <v>15</v>
      </c>
      <c r="G14" s="34">
        <v>2</v>
      </c>
      <c r="H14" s="42" t="s">
        <v>8</v>
      </c>
    </row>
    <row r="15" spans="2:8" ht="28.8" x14ac:dyDescent="0.3">
      <c r="B15" s="34">
        <v>11</v>
      </c>
      <c r="C15" s="34" t="s">
        <v>41</v>
      </c>
      <c r="D15" s="34" t="s">
        <v>42</v>
      </c>
      <c r="E15" s="34" t="s">
        <v>43</v>
      </c>
      <c r="F15" s="35" t="s">
        <v>15</v>
      </c>
      <c r="G15" s="34">
        <v>1</v>
      </c>
      <c r="H15" s="42" t="s">
        <v>8</v>
      </c>
    </row>
    <row r="16" spans="2:8" ht="28.8" x14ac:dyDescent="0.3">
      <c r="B16" s="34">
        <v>12</v>
      </c>
      <c r="C16" s="34" t="s">
        <v>10</v>
      </c>
      <c r="D16" s="34" t="s">
        <v>44</v>
      </c>
      <c r="E16" s="34" t="s">
        <v>45</v>
      </c>
      <c r="F16" s="35" t="s">
        <v>15</v>
      </c>
      <c r="G16" s="34">
        <v>2</v>
      </c>
      <c r="H16" s="42" t="s">
        <v>8</v>
      </c>
    </row>
    <row r="17" spans="2:8" x14ac:dyDescent="0.3">
      <c r="B17" s="34">
        <v>13</v>
      </c>
      <c r="C17" s="34" t="s">
        <v>20</v>
      </c>
      <c r="D17" s="34" t="s">
        <v>46</v>
      </c>
      <c r="E17" s="34" t="s">
        <v>47</v>
      </c>
      <c r="F17" s="35" t="s">
        <v>15</v>
      </c>
      <c r="G17" s="34">
        <v>2</v>
      </c>
      <c r="H17" s="42" t="s">
        <v>8</v>
      </c>
    </row>
    <row r="18" spans="2:8" x14ac:dyDescent="0.3">
      <c r="B18" s="34">
        <v>14</v>
      </c>
      <c r="C18" s="34" t="s">
        <v>20</v>
      </c>
      <c r="D18" s="34" t="s">
        <v>48</v>
      </c>
      <c r="E18" s="34" t="s">
        <v>49</v>
      </c>
      <c r="F18" s="35" t="s">
        <v>15</v>
      </c>
      <c r="G18" s="34">
        <v>2</v>
      </c>
      <c r="H18" s="42" t="s">
        <v>8</v>
      </c>
    </row>
    <row r="19" spans="2:8" ht="28.8" x14ac:dyDescent="0.3">
      <c r="B19" s="34">
        <v>15</v>
      </c>
      <c r="C19" s="34" t="s">
        <v>20</v>
      </c>
      <c r="D19" s="34" t="s">
        <v>50</v>
      </c>
      <c r="E19" s="34" t="s">
        <v>51</v>
      </c>
      <c r="F19" s="36" t="s">
        <v>19</v>
      </c>
      <c r="G19" s="34">
        <v>1</v>
      </c>
      <c r="H19" s="42" t="s">
        <v>8</v>
      </c>
    </row>
    <row r="20" spans="2:8" ht="28.8" x14ac:dyDescent="0.3">
      <c r="B20" s="34">
        <v>16</v>
      </c>
      <c r="C20" s="34" t="s">
        <v>16</v>
      </c>
      <c r="D20" s="34" t="s">
        <v>52</v>
      </c>
      <c r="E20" s="34" t="s">
        <v>99</v>
      </c>
      <c r="F20" s="36" t="s">
        <v>19</v>
      </c>
      <c r="G20" s="34">
        <v>2</v>
      </c>
      <c r="H20" s="42" t="s">
        <v>8</v>
      </c>
    </row>
    <row r="21" spans="2:8" ht="18" x14ac:dyDescent="0.35">
      <c r="B21" s="55" t="s">
        <v>53</v>
      </c>
      <c r="C21" s="56"/>
      <c r="D21" s="56"/>
      <c r="E21" s="56"/>
      <c r="F21" s="56"/>
      <c r="G21" s="57"/>
      <c r="H21" s="37">
        <v>24</v>
      </c>
    </row>
  </sheetData>
  <mergeCells count="3">
    <mergeCell ref="B2:H2"/>
    <mergeCell ref="B3:H3"/>
    <mergeCell ref="B21:G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96C1A2BE66D4BA7B7CBDF0D844F68" ma:contentTypeVersion="10" ma:contentTypeDescription="Create a new document." ma:contentTypeScope="" ma:versionID="8de51402cb8a3fe375f655f0fa8af67b">
  <xsd:schema xmlns:xsd="http://www.w3.org/2001/XMLSchema" xmlns:xs="http://www.w3.org/2001/XMLSchema" xmlns:p="http://schemas.microsoft.com/office/2006/metadata/properties" xmlns:ns3="f122a619-0017-4c02-97c5-bdd37e08902b" targetNamespace="http://schemas.microsoft.com/office/2006/metadata/properties" ma:root="true" ma:fieldsID="8937ccf6fa6ef537f7ab209d38f8ca31" ns3:_="">
    <xsd:import namespace="f122a619-0017-4c02-97c5-bdd37e0890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SearchProperties" minOccurs="0"/>
                <xsd:element ref="ns3:MediaServiceObjectDetectorVersions" minOccurs="0"/>
                <xsd:element ref="ns3:MediaServiceFastMetadata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22a619-0017-4c02-97c5-bdd37e089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22a619-0017-4c02-97c5-bdd37e08902b" xsi:nil="true"/>
  </documentManagement>
</p:properties>
</file>

<file path=customXml/itemProps1.xml><?xml version="1.0" encoding="utf-8"?>
<ds:datastoreItem xmlns:ds="http://schemas.openxmlformats.org/officeDocument/2006/customXml" ds:itemID="{33705228-CCB7-4144-B5A8-41B6DC4E59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22a619-0017-4c02-97c5-bdd37e0890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326DB9-D1C5-449D-B7A9-1775FD5F3F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71BB77-2AEF-479D-BCCD-C896C89AEE7B}">
  <ds:schemaRefs>
    <ds:schemaRef ds:uri="http://schemas.microsoft.com/office/2006/metadata/properties"/>
    <ds:schemaRef ds:uri="http://schemas.microsoft.com/office/infopath/2007/PartnerControls"/>
    <ds:schemaRef ds:uri="f122a619-0017-4c02-97c5-bdd37e08902b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Final Product Backlog3</vt:lpstr>
      <vt:lpstr>proudect Backlog2</vt:lpstr>
      <vt:lpstr>Proudct Backlog1</vt:lpstr>
      <vt:lpstr>'Final Product Backlog3'!Print_Area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</dc:creator>
  <cp:keywords/>
  <dc:description/>
  <cp:lastModifiedBy>جود ابراهيم محمد القزلان</cp:lastModifiedBy>
  <cp:revision/>
  <cp:lastPrinted>2025-12-03T20:57:46Z</cp:lastPrinted>
  <dcterms:created xsi:type="dcterms:W3CDTF">2016-06-18T21:51:36Z</dcterms:created>
  <dcterms:modified xsi:type="dcterms:W3CDTF">2025-12-08T20:23:09Z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0x010100B7596C1A2BE66D4BA7B7CBDF0D844F68</vt:lpwstr>
  </property>
</Properties>
</file>